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.csv" sheetId="1" r:id="rId5"/>
    <sheet state="visible" name="Pivot Table 1" sheetId="2" r:id="rId6"/>
    <sheet state="visible" name="charts" sheetId="3" r:id="rId7"/>
    <sheet state="visible" name="insigh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<sst xmlns="http://schemas.openxmlformats.org/spreadsheetml/2006/main" count="4481" uniqueCount="669">
  <si>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</si>
  <si>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</si>
  <si>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</si>
  <si>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</si>
  <si>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</si>
  <si>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</si>
  <si>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</si>
  <si>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</si>
  <si>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</si>
  <si>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</si>
  <si>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</si>
  <si>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</si>
  <si>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</si>
  <si>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</si>
  <si>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</si>
  <si>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</si>
  <si>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</si>
  <si>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</si>
  <si>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</si>
  <si>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</si>
  <si>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</si>
  <si>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</si>
  <si>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</si>
  <si>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</si>
  <si>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</si>
  <si>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</si>
  <si>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</si>
  <si>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sum</t>
  </si>
  <si>
    <t>LP001011</t>
  </si>
  <si>
    <t>avg</t>
  </si>
  <si>
    <t>LP001013</t>
  </si>
  <si>
    <t>LP001014</t>
  </si>
  <si>
    <t>3+</t>
  </si>
  <si>
    <t>Semiurban</t>
  </si>
  <si>
    <t>LP001018</t>
  </si>
  <si>
    <t xml:space="preserve"> </t>
  </si>
  <si>
    <t>LP001020</t>
  </si>
  <si>
    <t>max</t>
  </si>
  <si>
    <t>LP001024</t>
  </si>
  <si>
    <t>min</t>
  </si>
  <si>
    <t>LP001027</t>
  </si>
  <si>
    <t>LP001028</t>
  </si>
  <si>
    <t>LP001029</t>
  </si>
  <si>
    <t>property area</t>
  </si>
  <si>
    <t>married</t>
  </si>
  <si>
    <t>LP001030</t>
  </si>
  <si>
    <t>urban</t>
  </si>
  <si>
    <t>unmarried</t>
  </si>
  <si>
    <t>LP001032</t>
  </si>
  <si>
    <t>rural</t>
  </si>
  <si>
    <t>LP001034</t>
  </si>
  <si>
    <t>semiurban</t>
  </si>
  <si>
    <t>education</t>
  </si>
  <si>
    <t>LP001036</t>
  </si>
  <si>
    <t>Female</t>
  </si>
  <si>
    <t>total</t>
  </si>
  <si>
    <t>graduate</t>
  </si>
  <si>
    <t>LP001038</t>
  </si>
  <si>
    <t>not graduate</t>
  </si>
  <si>
    <t>LP001041</t>
  </si>
  <si>
    <t>gender</t>
  </si>
  <si>
    <t>LP001043</t>
  </si>
  <si>
    <t>female</t>
  </si>
  <si>
    <t>LP001046</t>
  </si>
  <si>
    <t>male</t>
  </si>
  <si>
    <t>LP001047</t>
  </si>
  <si>
    <t>LP001050</t>
  </si>
  <si>
    <t>self employed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</si>
  <si>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</si>
  <si>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</si>
  <si>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</si>
  <si>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</si>
  <si>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</si>
  <si>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</si>
  <si>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</si>
  <si>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</si>
  <si>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</si>
  <si>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</si>
  <si>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</si>
  <si>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</si>
  <si>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</si>
  <si>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</si>
  <si>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</si>
  <si>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</si>
  <si>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</si>
  <si>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</si>
  <si>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</si>
  <si>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</si>
  <si>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</si>
  <si>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</si>
  <si>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</si>
  <si>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</si>
  <si>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</si>
  <si>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</si>
  <si>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</si>
  <si>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</si>
  <si>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</si>
  <si>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</si>
  <si>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</si>
  <si>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</si>
  <si>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</si>
  <si>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</si>
  <si>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</si>
  <si>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</si>
  <si>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</si>
  <si>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</si>
  <si>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</si>
  <si>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</si>
  <si>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</si>
  <si>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</si>
  <si>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</si>
  <si>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</si>
  <si>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</si>
  <si>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</si>
  <si>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</si>
  <si>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</si>
  <si>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</si>
  <si>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</si>
  <si>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</si>
  <si>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</si>
  <si>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</si>
  <si>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</si>
  <si>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</si>
  <si>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</si>
  <si>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</si>
  <si>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</si>
  <si>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</si>
  <si>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</si>
  <si>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</si>
  <si>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</si>
  <si>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</si>
  <si>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</si>
  <si>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</si>
  <si>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</si>
  <si>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</si>
  <si>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</si>
  <si>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</si>
  <si>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</si>
  <si>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</si>
  <si>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</si>
  <si>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</si>
  <si>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</si>
  <si>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</si>
  <si>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</si>
  <si>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</si>
  <si>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</si>
  <si>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</si>
  <si>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</si>
  <si>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</si>
  <si>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</si>
  <si>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</si>
  <si>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</si>
  <si>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</si>
  <si>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</si>
  <si>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</si>
  <si>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</si>
  <si>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</si>
  <si>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</si>
  <si>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</si>
  <si>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</si>
  <si>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</si>
  <si>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</si>
  <si>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</si>
  <si>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</si>
  <si>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</si>
  <si>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</si>
  <si>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</si>
  <si>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</si>
  <si>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</si>
  <si>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</si>
  <si>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</si>
  <si>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</si>
  <si>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</si>
  <si>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</si>
  <si>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</si>
  <si>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</si>
  <si>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</si>
  <si>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</si>
  <si>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</si>
  <si>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</si>
  <si>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</si>
  <si>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</si>
  <si>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</si>
  <si>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</si>
  <si>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</si>
  <si>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</si>
  <si>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</si>
  <si>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</si>
  <si>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</si>
  <si>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</si>
  <si>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</si>
  <si>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</si>
  <si>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</si>
  <si>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</si>
  <si>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</si>
  <si>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</si>
  <si>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</si>
  <si>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</si>
  <si>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</si>
  <si>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</si>
  <si>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</si>
  <si>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</si>
  <si>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</si>
  <si>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</si>
  <si>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</si>
  <si>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</si>
  <si>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</si>
  <si>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</si>
  <si>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</si>
  <si>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</si>
  <si>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</si>
  <si>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</si>
  <si>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</si>
  <si>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</si>
  <si>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</si>
  <si>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</si>
  <si>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</si>
  <si>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</si>
  <si>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</si>
  <si>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</si>
  <si>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</si>
  <si>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</si>
  <si>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</si>
  <si>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</si>
  <si>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</si>
  <si>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</si>
  <si>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</si>
  <si>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</si>
  <si>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</si>
  <si>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</si>
  <si>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</si>
  <si>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</si>
  <si>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</si>
  <si>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</si>
  <si>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</si>
  <si>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</si>
  <si>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</si>
  <si>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</si>
  <si>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</si>
  <si>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</si>
  <si>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</si>
  <si>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</si>
  <si>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</si>
  <si>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</si>
  <si>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</si>
  <si>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</si>
  <si>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</si>
  <si>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</si>
  <si>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</si>
  <si>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</si>
  <si>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</si>
  <si>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</si>
  <si>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</si>
  <si>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</si>
  <si>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</si>
  <si>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</si>
  <si>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</si>
  <si>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</si>
  <si>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</si>
  <si>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</si>
  <si>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</si>
  <si>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</si>
  <si>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</si>
  <si>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</si>
  <si>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</si>
  <si>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</si>
  <si>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</si>
  <si>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</si>
  <si>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</si>
  <si>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</si>
  <si>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</si>
  <si>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</si>
  <si>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</si>
  <si>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</si>
  <si>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</si>
  <si>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</si>
  <si>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</si>
  <si>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</si>
  <si>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</si>
  <si>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</si>
  <si>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</si>
  <si>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</si>
  <si>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</si>
  <si>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</si>
  <si>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</si>
  <si>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</si>
  <si>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</si>
  <si>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</si>
  <si>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</si>
  <si>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</si>
  <si>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</si>
  <si>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</si>
  <si>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</si>
  <si>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</si>
  <si>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</si>
  <si>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</si>
  <si>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</si>
  <si>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</si>
  <si>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</si>
  <si>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</si>
  <si>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</si>
  <si>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</si>
  <si>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</si>
  <si>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</si>
  <si>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</si>
  <si>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</si>
  <si>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</si>
  <si>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</si>
  <si>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</si>
  <si>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</si>
  <si>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</si>
  <si>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</si>
  <si>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</si>
  <si>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</si>
  <si>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</si>
  <si>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</si>
  <si>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</si>
  <si>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</si>
  <si>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</si>
  <si>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</si>
  <si>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</si>
  <si>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</si>
  <si>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</si>
  <si>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</si>
  <si>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</si>
  <si>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</si>
  <si>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</si>
  <si>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</si>
  <si>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</si>
  <si>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</si>
  <si>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</si>
  <si>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</si>
  <si>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</si>
  <si>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</si>
  <si>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</si>
  <si>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</si>
  <si>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</si>
  <si>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</si>
  <si>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</si>
  <si>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</si>
  <si>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</si>
  <si>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</si>
  <si>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</si>
  <si>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</si>
  <si>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</si>
  <si>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</si>
  <si>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</si>
  <si>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</si>
  <si>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</si>
  <si>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</si>
  <si>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</si>
  <si>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</si>
  <si>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</si>
  <si>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</si>
  <si>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</si>
  <si>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</si>
  <si>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</si>
  <si>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</si>
  <si>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</si>
  <si>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</si>
  <si>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</si>
  <si>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</si>
  <si>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</si>
  <si>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</si>
  <si>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</si>
  <si>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</si>
  <si>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</si>
  <si>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</si>
  <si>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</si>
  <si>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</si>
  <si>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</si>
  <si>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</si>
  <si>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</si>
  <si>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</si>
  <si>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</si>
  <si>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</si>
  <si>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</si>
  <si>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</si>
  <si>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</si>
  <si>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</si>
  <si>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</si>
  <si>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</si>
  <si>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</si>
  <si>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</si>
  <si>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</si>
  <si>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</si>
  <si>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</si>
  <si>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</si>
  <si>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</si>
  <si>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</si>
  <si>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</si>
  <si>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</si>
  <si>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</si>
  <si>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</si>
  <si>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</si>
  <si>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</si>
  <si>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</si>
  <si>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</si>
  <si>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</si>
  <si>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</si>
  <si>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</si>
  <si>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</si>
  <si>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</si>
  <si>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</si>
  <si>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</si>
  <si>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</si>
  <si>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</si>
  <si>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</si>
  <si>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</si>
  <si>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</si>
  <si>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</si>
  <si>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</si>
  <si>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</si>
  <si>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</si>
  <si>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</si>
  <si>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</si>
  <si>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</si>
  <si>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</si>
  <si>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</si>
  <si>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</si>
  <si>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</si>
  <si>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</si>
  <si>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</si>
  <si>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</si>
  <si>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</si>
  <si>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</si>
  <si>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</si>
  <si>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</si>
  <si>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</si>
  <si>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</si>
  <si>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</si>
  <si>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</si>
  <si>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</si>
  <si>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</si>
  <si>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</si>
  <si>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</si>
  <si>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</si>
  <si>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</si>
  <si>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</si>
  <si>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</si>
  <si>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</si>
  <si>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</si>
  <si>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</si>
  <si>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</si>
  <si>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</si>
  <si>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</si>
  <si>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</si>
  <si>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</si>
  <si>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</si>
  <si>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</si>
  <si>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</si>
  <si>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</si>
  <si>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</si>
  <si>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</si>
  <si>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</si>
  <si>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</si>
  <si>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</si>
  <si>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</si>
  <si>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</si>
  <si>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</si>
  <si>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</si>
  <si>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</si>
  <si>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</si>
  <si>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</si>
  <si>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</si>
  <si>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</si>
  <si>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</si>
  <si>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</si>
  <si>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</si>
  <si>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</si>
  <si>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</si>
  <si>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</si>
  <si>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</si>
  <si>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</si>
  <si>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</si>
  <si>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</si>
  <si>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</si>
  <si>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</si>
  <si>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</si>
  <si>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</si>
  <si>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</si>
  <si>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</si>
  <si>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</si>
  <si>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</si>
  <si>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</si>
  <si>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</si>
  <si>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</si>
  <si>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</si>
  <si>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</si>
  <si>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</si>
  <si>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</si>
  <si>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</si>
  <si>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</si>
  <si>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</si>
  <si>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</si>
  <si>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</si>
  <si>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</si>
  <si>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</si>
  <si>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</si>
  <si>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</si>
  <si>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</si>
  <si>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</si>
  <si>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</si>
  <si>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</si>
  <si>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</si>
  <si>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</si>
  <si>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</si>
  <si>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</si>
  <si>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</si>
  <si>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</si>
  <si>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</si>
  <si>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</si>
  <si>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</si>
  <si>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</si>
  <si>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</si>
  <si>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</si>
  <si>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</si>
  <si>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</si>
  <si>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</si>
  <si>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</si>
  <si>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</si>
  <si>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</si>
  <si>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</si>
  <si>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</si>
  <si>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</si>
  <si>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</si>
  <si>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</si>
  <si>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</si>
  <si>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</si>
  <si>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</si>
  <si>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</si>
  <si>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</si>
  <si>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</si>
  <si>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</si>
  <si>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</si>
  <si>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</si>
  <si>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</si>
  <si>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</si>
  <si>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</si>
  <si>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</si>
  <si>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</si>
  <si>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</si>
  <si>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</si>
  <si>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</si>
  <si>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</si>
  <si>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</si>
  <si>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</si>
  <si>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</si>
  <si>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</si>
  <si>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</si>
  <si>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</si>
  <si>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</si>
  <si>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</si>
  <si>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</si>
  <si>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</si>
  <si>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</si>
  <si>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</si>
  <si>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</si>
  <si>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</si>
  <si>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</si>
  <si>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</si>
  <si>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</si>
  <si>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</si>
  <si>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</si>
  <si>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</si>
  <si>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</si>
  <si>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</si>
  <si>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</si>
  <si>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</si>
  <si>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</si>
  <si>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</si>
  <si>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</si>
  <si>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</si>
  <si>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</si>
  <si>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</si>
  <si>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</si>
  <si>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</si>
  <si>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</si>
  <si>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</si>
  <si>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</si>
  <si>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</si>
  <si>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</si>
  <si>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</si>
  <si>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</si>
  <si>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</si>
  <si>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</si>
  <si>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</si>
  <si>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</si>
  <si>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</si>
  <si>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</si>
  <si>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</si>
  <si>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</si>
  <si>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</si>
  <si>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</si>
  <si>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</si>
  <si>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</si>
  <si>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</si>
  <si>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</si>
  <si>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</si>
  <si>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</si>
  <si>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</si>
  <si>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</si>
  <si>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</si>
  <si>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</si>
  <si>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</si>
  <si>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</si>
  <si>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</si>
  <si>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</si>
  <si>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</si>
  <si>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</si>
  <si>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</si>
  <si>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</si>
  <si>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</si>
  <si>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</si>
  <si>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</si>
  <si>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</si>
  <si>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</si>
  <si>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</si>
  <si>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</si>
  <si>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</si>
  <si>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</si>
  <si>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</si>
  <si>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</si>
  <si>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</si>
  <si>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</si>
  <si>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</si>
  <si>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</si>
  <si>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</si>
  <si>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</si>
  <si>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</si>
  <si>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</si>
  <si>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</si>
  <si>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</si>
  <si>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</si>
  <si>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</si>
  <si>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</si>
  <si>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</si>
  <si>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</si>
  <si>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</si>
  <si>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</si>
  <si>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</si>
  <si>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</si>
  <si>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</si>
  <si>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</si>
  <si>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</si>
  <si>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</si>
  <si>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</si>
  <si>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</si>
  <si>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</si>
  <si>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</si>
  <si>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</si>
  <si>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</si>
  <si>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</si>
  <si>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</si>
  <si>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</si>
  <si>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</si>
  <si>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</si>
  <si>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</si>
  <si>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COUNTA of Loan_ID</t>
  </si>
  <si>
    <t>AVERAGE of ApplicantIncome</t>
  </si>
  <si>
    <t>SUM of LoanAmount</t>
  </si>
  <si>
    <t>Grand Total</t>
  </si>
  <si>
    <t>AVERAGE of LoanAmount</t>
  </si>
  <si>
    <t>N Total</t>
  </si>
  <si>
    <t>Female Total</t>
  </si>
  <si>
    <t>Y Total</t>
  </si>
  <si>
    <t>Male Total</t>
  </si>
  <si>
    <t>No Total</t>
  </si>
  <si>
    <t>Yes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</si>
</sst>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textRotation="45"/>
    </xf>
    <xf borderId="0" fillId="2" fontId="1" numFmtId="0" xfId="0" applyAlignment="1" applyFont="1">
      <alignment horizontal="right" readingOrder="0" textRotation="45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1" fillId="3" fontId="2" numFmtId="0" xfId="0" applyBorder="1" applyFill="1" applyFont="1"/>
    <xf borderId="1" fillId="4" fontId="2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2" fillId="4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4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readingOrder="0"/>
    </xf>
    <xf borderId="5" fillId="0" fontId="1" numFmtId="0" xfId="0" applyBorder="1" applyFont="1"/>
    <xf borderId="6" fillId="4" fontId="2" numFmtId="0" xfId="0" applyAlignment="1" applyBorder="1" applyFont="1">
      <alignment readingOrder="0"/>
    </xf>
    <xf borderId="7" fillId="0" fontId="1" numFmtId="0" xfId="0" applyBorder="1" applyFont="1"/>
    <xf borderId="8" fillId="4" fontId="2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0" fillId="0" fontId="3" numFmtId="0" xfId="0" applyFont="1"/>
    <xf borderId="0" fillId="0" fontId="3" numFmtId="165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2" xfId="0" applyFont="1" applyNumberFormat="1"/>
    <xf borderId="0" fillId="5" fontId="3" numFmtId="0" xfId="0" applyFill="1" applyFont="1"/>
  </cellXfs>
  <cellStyles count="1">
    <cellStyle xfId="0" name="Normal" builtinId="0"/>
  </cellStyles>
  <dxfs count="12">
    <dxf>
      <font/>
      <fill>
        <patternFill patternType="solid">
          <fgColor rgb="FFB7E1CD"/>
          <bgColor rgb="FFB7E1CD"/>
        </patternFill>
      </fill>
      <border/>
    </dxf>
    <dxf>
      <font>
        <color rgb="FF990000"/>
      </font>
      <fill>
        <patternFill patternType="solid">
          <fgColor rgb="FFDD7E6B"/>
          <bgColor rgb="FFDD7E6B"/>
        </patternFill>
      </fill>
      <border/>
    </dxf>
    <dxf>
      <font>
        <color theme="0"/>
      </font>
      <fill>
        <patternFill patternType="solid">
          <fgColor rgb="FF274E13"/>
          <bgColor rgb="FF274E13"/>
        </patternFill>
      </fill>
      <border/>
    </dxf>
    <dxf>
      <font>
        <color theme="0"/>
      </font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Graduate Vs Ungraduate</a:t>
            </a:r>
          </a:p>
        </c:rich>
      </c:tx>
      <c:layout>
        <c:manualLayout>
          <c:xMode val="edge"/>
          <c:yMode val="edge"/>
          <c:x val="0.02648456057007126"/>
          <c:y val="0.0464664310954063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1'!$G$1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1'!$F$2:$F$3</c:f>
            </c:strRef>
          </c:cat>
          <c:val>
            <c:numRef>
              <c:f>'Pivot Table 1'!$G$2:$G$3</c:f>
              <c:numCache/>
            </c:numRef>
          </c:val>
        </c:ser>
        <c:axId val="1889565077"/>
        <c:axId val="457232413"/>
      </c:barChart>
      <c:catAx>
        <c:axId val="1889565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Education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57232413"/>
      </c:catAx>
      <c:valAx>
        <c:axId val="457232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AVERAGE of ApplicantIncome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89565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What gender say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1'!$I$2:$I$3</c:f>
            </c:strRef>
          </c:cat>
          <c:val>
            <c:numRef>
              <c:f>'Pivot Table 1'!$J$2:$J$3</c:f>
              <c:numCache/>
            </c:numRef>
          </c:val>
        </c:ser>
        <c:overlap val="100"/>
        <c:axId val="110165311"/>
        <c:axId val="889624498"/>
      </c:barChart>
      <c:catAx>
        <c:axId val="11016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89624498"/>
      </c:catAx>
      <c:valAx>
        <c:axId val="88962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SUM of LoanAmount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0165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Marital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1'!$M$1</c:f>
            </c:strRef>
          </c:tx>
          <c:dPt>
            <c:idx val="0"/>
            <c:explosion val="5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1'!$L$2:$L$3</c:f>
            </c:strRef>
          </c:cat>
          <c:val>
            <c:numRef>
              <c:f>'Pivot Table 1'!$M$2:$M$3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0"/>
      </c:doughnutChart>
    </c:plotArea>
    <c:legend>
      <c:legendPos val="l"/>
      <c:layout>
        <c:manualLayout>
          <c:xMode val="edge"/>
          <c:yMode val="edge"/>
          <c:x val="0.08859649122807017"/>
          <c:y val="0.3950742240215925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Dependents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1'!$G$7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1'!$F$8:$F$11</c:f>
            </c:strRef>
          </c:cat>
          <c:val>
            <c:numRef>
              <c:f>'Pivot Table 1'!$G$8:$G$11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High Credit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strRef>
              <c:f>'Pivot Table 1'!$C$14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circle"/>
            <c:size val="7"/>
            <c:spPr>
              <a:solidFill>
                <a:srgbClr val="004561"/>
              </a:solidFill>
              <a:ln cmpd="sng">
                <a:solidFill>
                  <a:srgbClr val="004561"/>
                </a:solidFill>
              </a:ln>
            </c:spPr>
          </c:marker>
          <c:cat>
            <c:strRef>
              <c:f>'Pivot Table 1'!$A$15:$A$20</c:f>
            </c:strRef>
          </c:cat>
          <c:val>
            <c:numRef>
              <c:f>'Pivot Table 1'!$C$15:$C$20</c:f>
              <c:numCache/>
            </c:numRef>
          </c:val>
          <c:smooth val="0"/>
        </c:ser>
        <c:axId val="224896657"/>
        <c:axId val="144898291"/>
      </c:lineChart>
      <c:catAx>
        <c:axId val="224896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Loan_Status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4898291"/>
      </c:catAx>
      <c:valAx>
        <c:axId val="144898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24896657"/>
      </c:valAx>
      <c:barChart>
        <c:barDir val="col"/>
        <c:ser>
          <c:idx val="0"/>
          <c:order val="0"/>
          <c:tx>
            <c:strRef>
              <c:f>'Pivot Table 1'!$B$14</c:f>
            </c:strRef>
          </c:tx>
          <c:spPr>
            <a:solidFill>
              <a:schemeClr val="accent1"/>
            </a:solidFill>
            <a:ln cmpd="sng" w="76200">
              <a:solidFill>
                <a:srgbClr val="0B5394">
                  <a:alpha val="100000"/>
                </a:srgbClr>
              </a:solidFill>
            </a:ln>
          </c:spPr>
          <c:cat>
            <c:strRef>
              <c:f>'Pivot Table 1'!$A$15:$A$20</c:f>
            </c:strRef>
          </c:cat>
          <c:val>
            <c:numRef>
              <c:f>'Pivot Table 1'!$B$15:$B$20</c:f>
              <c:numCache/>
            </c:numRef>
          </c:val>
        </c:ser>
        <c:axId val="1554694630"/>
        <c:axId val="1928680883"/>
      </c:barChart>
      <c:lineChart>
        <c:varyColors val="0"/>
        <c:ser>
          <c:idx val="2"/>
          <c:order val="2"/>
          <c:tx>
            <c:strRef>
              <c:f>'Pivot Table 1'!$D$14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circle"/>
            <c:size val="7"/>
            <c:spPr>
              <a:solidFill>
                <a:srgbClr val="FF6F31"/>
              </a:solidFill>
              <a:ln cmpd="sng">
                <a:solidFill>
                  <a:srgbClr val="FF6F31"/>
                </a:solidFill>
              </a:ln>
            </c:spPr>
          </c:marker>
          <c:cat>
            <c:strRef>
              <c:f>'Pivot Table 1'!$A$15:$A$20</c:f>
            </c:strRef>
          </c:cat>
          <c:val>
            <c:numRef>
              <c:f>'Pivot Table 1'!$D$15:$D$20</c:f>
              <c:numCache/>
            </c:numRef>
          </c:val>
          <c:smooth val="0"/>
        </c:ser>
        <c:axId val="1554694630"/>
        <c:axId val="1928680883"/>
      </c:lineChart>
      <c:catAx>
        <c:axId val="15546946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28680883"/>
      </c:catAx>
      <c:valAx>
        <c:axId val="19286808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5469463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Married vs Dependents vs Loan Amount</a:t>
            </a:r>
          </a:p>
        </c:rich>
      </c:tx>
      <c:overlay val="0"/>
    </c:title>
    <c:plotArea>
      <c:layout/>
      <c:areaChart>
        <c:grouping val="stacked"/>
        <c:ser>
          <c:idx val="1"/>
          <c:order val="1"/>
          <c:tx>
            <c:strRef>
              <c:f>'Pivot Table 1'!$C$24</c:f>
            </c:strRef>
          </c:tx>
          <c:spPr>
            <a:solidFill>
              <a:srgbClr val="004561">
                <a:alpha val="30000"/>
              </a:srgbClr>
            </a:solidFill>
            <a:ln cmpd="sng">
              <a:solidFill>
                <a:srgbClr val="004561"/>
              </a:solidFill>
            </a:ln>
          </c:spPr>
          <c:cat>
            <c:strRef>
              <c:f>'Pivot Table 1'!$A$25:$A$36</c:f>
            </c:strRef>
          </c:cat>
          <c:val>
            <c:numRef>
              <c:f>'Pivot Table 1'!$C$25:$C$36</c:f>
              <c:numCache/>
            </c:numRef>
          </c:val>
        </c:ser>
        <c:axId val="1559672231"/>
        <c:axId val="661901806"/>
      </c:areaChart>
      <c:catAx>
        <c:axId val="1559672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61901806"/>
      </c:catAx>
      <c:valAx>
        <c:axId val="661901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59672231"/>
      </c:valAx>
      <c:areaChart>
        <c:grouping val="stacked"/>
        <c:ser>
          <c:idx val="0"/>
          <c:order val="0"/>
          <c:tx>
            <c:strRef>
              <c:f>'Pivot Table 1'!$B$24</c:f>
            </c:strRef>
          </c:tx>
          <c:spPr>
            <a:solidFill>
              <a:srgbClr val="5891AD">
                <a:alpha val="30000"/>
              </a:srgbClr>
            </a:solidFill>
            <a:ln cmpd="sng">
              <a:solidFill>
                <a:srgbClr val="5891AD"/>
              </a:solidFill>
            </a:ln>
          </c:spPr>
          <c:cat>
            <c:strRef>
              <c:f>'Pivot Table 1'!$A$25:$A$36</c:f>
            </c:strRef>
          </c:cat>
          <c:val>
            <c:numRef>
              <c:f>'Pivot Table 1'!$B$25:$B$36</c:f>
              <c:numCache/>
            </c:numRef>
          </c:val>
        </c:ser>
        <c:axId val="522884995"/>
        <c:axId val="211771069"/>
      </c:areaChart>
      <c:catAx>
        <c:axId val="5228849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11771069"/>
      </c:catAx>
      <c:valAx>
        <c:axId val="21177106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228849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Self-Employed Vs Loan Status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1'!$B$8:$B$9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1'!$A$10:$A$11</c:f>
            </c:strRef>
          </c:cat>
          <c:val>
            <c:numRef>
              <c:f>'Pivot Table 1'!$B$10:$B$11</c:f>
              <c:numCache/>
            </c:numRef>
          </c:val>
        </c:ser>
        <c:ser>
          <c:idx val="1"/>
          <c:order val="1"/>
          <c:tx>
            <c:strRef>
              <c:f>'Pivot Table 1'!$C$8:$C$9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1'!$A$10:$A$11</c:f>
            </c:strRef>
          </c:cat>
          <c:val>
            <c:numRef>
              <c:f>'Pivot Table 1'!$C$10:$C$11</c:f>
              <c:numCache/>
            </c:numRef>
          </c:val>
        </c:ser>
        <c:overlap val="100"/>
        <c:axId val="544520403"/>
        <c:axId val="1148959178"/>
      </c:barChart>
      <c:catAx>
        <c:axId val="5445204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Self_Employed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48959178"/>
      </c:catAx>
      <c:valAx>
        <c:axId val="11489591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445204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Credit history with Loan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1'!$J$7:$J$8</c:f>
            </c:strRef>
          </c:tx>
          <c:spPr>
            <a:solidFill>
              <a:schemeClr val="accent1"/>
            </a:solidFill>
            <a:ln cmpd="sng" w="76200">
              <a:solidFill>
                <a:srgbClr val="000000"/>
              </a:solidFill>
            </a:ln>
          </c:spPr>
          <c:cat>
            <c:strRef>
              <c:f>'Pivot Table 1'!$I$9:$I$10</c:f>
            </c:strRef>
          </c:cat>
          <c:val>
            <c:numRef>
              <c:f>'Pivot Table 1'!$J$9:$J$10</c:f>
              <c:numCache/>
            </c:numRef>
          </c:val>
        </c:ser>
        <c:ser>
          <c:idx val="1"/>
          <c:order val="1"/>
          <c:tx>
            <c:strRef>
              <c:f>'Pivot Table 1'!$K$7:$K$8</c:f>
            </c:strRef>
          </c:tx>
          <c:spPr>
            <a:solidFill>
              <a:schemeClr val="accent2"/>
            </a:solidFill>
            <a:ln cmpd="sng" w="76200">
              <a:solidFill>
                <a:srgbClr val="000000"/>
              </a:solidFill>
            </a:ln>
          </c:spPr>
          <c:cat>
            <c:strRef>
              <c:f>'Pivot Table 1'!$I$9:$I$10</c:f>
            </c:strRef>
          </c:cat>
          <c:val>
            <c:numRef>
              <c:f>'Pivot Table 1'!$K$9:$K$10</c:f>
              <c:numCache/>
            </c:numRef>
          </c:val>
        </c:ser>
        <c:axId val="2024714665"/>
        <c:axId val="606890076"/>
      </c:barChart>
      <c:catAx>
        <c:axId val="2024714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Credit_History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06890076"/>
      </c:catAx>
      <c:valAx>
        <c:axId val="606890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24714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FFFFFF"/>
                </a:solidFill>
                <a:latin typeface="serif"/>
              </a:defRPr>
            </a:pPr>
            <a:r>
              <a:rPr b="1" i="1" sz="2400">
                <a:solidFill>
                  <a:srgbClr val="FFFFFF"/>
                </a:solidFill>
                <a:latin typeface="serif"/>
              </a:rPr>
              <a:t>Approval by location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1"/>
          </c:dPt>
          <c:dPt>
            <c:idx val="2"/>
          </c:dPt>
          <c:cat>
            <c:strRef>
              <c:f>'Pivot Table 1'!$A$3:$A$5</c:f>
            </c:strRef>
          </c:cat>
          <c:val>
            <c:numRef>
              <c:f>'Pivot Table 1'!$B$3:$B$5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cat>
            <c:strRef>
              <c:f>'Pivot Table 1'!$A$3:$A$5</c:f>
            </c:strRef>
          </c:cat>
          <c:val>
            <c:numRef>
              <c:f>'Pivot Table 1'!$C$3:$C$5</c:f>
              <c:numCache/>
            </c:numRef>
          </c:val>
        </c:ser>
        <c:overlap val="100"/>
        <c:axId val="835293807"/>
        <c:axId val="1190545459"/>
      </c:barChart>
      <c:catAx>
        <c:axId val="835293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Property_Area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90545459"/>
      </c:catAx>
      <c:valAx>
        <c:axId val="1190545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35293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9.xml"/><Relationship Id="rId9" Type="http://schemas.openxmlformats.org/officeDocument/2006/relationships/chart" Target="../charts/chart8.xml"/><Relationship Id="rId5" Type="http://schemas.openxmlformats.org/officeDocument/2006/relationships/chart" Target="../charts/chart5.xml"/><Relationship Id="rId6" Type="http://schemas.openxmlformats.org/officeDocument/2006/relationships/image" Target="../media/Chart6.png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0</xdr:row>
      <xdr:rowOff>19050</xdr:rowOff>
    </xdr:from>
    <xdr:ext cx="4191000" cy="2847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171450</xdr:colOff>
      <xdr:row>0</xdr:row>
      <xdr:rowOff>19050</xdr:rowOff>
    </xdr:from>
    <xdr:ext cx="4105275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428625</xdr:colOff>
      <xdr:row>0</xdr:row>
      <xdr:rowOff>19050</xdr:rowOff>
    </xdr:from>
    <xdr:ext cx="3800475" cy="2847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619125</xdr:colOff>
      <xdr:row>14</xdr:row>
      <xdr:rowOff>85725</xdr:rowOff>
    </xdr:from>
    <xdr:ext cx="3971925" cy="2819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952500</xdr:colOff>
      <xdr:row>14</xdr:row>
      <xdr:rowOff>95250</xdr:rowOff>
    </xdr:from>
    <xdr:ext cx="4238625" cy="2819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133350</xdr:rowOff>
    </xdr:from>
    <xdr:ext cx="4314825" cy="2752725"/>
    <xdr:pic>
      <xdr:nvPicPr>
        <xdr:cNvPr id="158084488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28</xdr:row>
      <xdr:rowOff>66675</xdr:rowOff>
    </xdr:from>
    <xdr:ext cx="4543425" cy="2819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85725</xdr:rowOff>
    </xdr:from>
    <xdr:ext cx="4457700" cy="2819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752475</xdr:colOff>
      <xdr:row>14</xdr:row>
      <xdr:rowOff>85725</xdr:rowOff>
    </xdr:from>
    <xdr:ext cx="4038600" cy="28194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0</xdr:row>
      <xdr:rowOff>19050</xdr:rowOff>
    </xdr:from>
    <xdr:ext cx="4648200" cy="28479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142875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3" name="Shape 3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1108475" y="849200"/>
            <a:ext cx="2874000" cy="2254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700"/>
              <a:buFont typeface="Lobster"/>
              <a:buAutoNum type="arabicPeriod"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Loan Approval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The 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Semi Urban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area shows the highest total number of loan applications . This area also has the largest proportion of approved status  and very low rejected status compared to Rural and Urban areas.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</xdr:txBody>
      </xdr:sp>
    </xdr:grpSp>
    <xdr:clientData fLocksWithSheet="0"/>
  </xdr:oneCellAnchor>
  <xdr:oneCellAnchor>
    <xdr:from>
      <xdr:col>4</xdr:col>
      <xdr:colOff>895350</xdr:colOff>
      <xdr:row>0</xdr:row>
      <xdr:rowOff>142875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5" name="Shape 5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1149100" y="895325"/>
            <a:ext cx="2771100" cy="161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2.	Loan Approval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Graduates (5857) earns a higher average income than non-graduates(3777).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561975</xdr:colOff>
      <xdr:row>0</xdr:row>
      <xdr:rowOff>142875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7" name="Shape 7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8" name="Shape 8"/>
          <xdr:cNvSpPr txBox="1"/>
        </xdr:nvSpPr>
        <xdr:spPr>
          <a:xfrm>
            <a:off x="1128800" y="864875"/>
            <a:ext cx="2751000" cy="2212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3.	What gender says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Semi Urban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areas have the highest loan approval rates, while Male applicants covers high loan volume as 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compared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to female.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7</xdr:col>
      <xdr:colOff>28575</xdr:colOff>
      <xdr:row>14</xdr:row>
      <xdr:rowOff>142875</xdr:rowOff>
    </xdr:from>
    <xdr:ext cx="4276725" cy="280035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9" name="Shape 9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10" name="Shape 10"/>
          <xdr:cNvSpPr txBox="1"/>
        </xdr:nvSpPr>
        <xdr:spPr>
          <a:xfrm>
            <a:off x="1138950" y="895325"/>
            <a:ext cx="2801700" cy="2151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5.	 Non Self-Employed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Non self-employed leads with highest number of loan applicant in which 366 loan application is approved while 166 are rejected.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</xdr:txBody>
      </xdr:sp>
    </xdr:grpSp>
    <xdr:clientData fLocksWithSheet="0"/>
  </xdr:oneCellAnchor>
  <xdr:oneCellAnchor>
    <xdr:from>
      <xdr:col>2</xdr:col>
      <xdr:colOff>285750</xdr:colOff>
      <xdr:row>14</xdr:row>
      <xdr:rowOff>180975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11" name="Shape 11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12" name="Shape 12"/>
          <xdr:cNvSpPr txBox="1"/>
        </xdr:nvSpPr>
        <xdr:spPr>
          <a:xfrm>
            <a:off x="1118650" y="875025"/>
            <a:ext cx="2781300" cy="2223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4.	 Marital Status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Among all applicants , 401 applicants are married while rest are unmarried.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7</xdr:col>
      <xdr:colOff>47625</xdr:colOff>
      <xdr:row>43</xdr:row>
      <xdr:rowOff>200025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13" name="Shape 13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14" name="Shape 14"/>
          <xdr:cNvSpPr txBox="1"/>
        </xdr:nvSpPr>
        <xdr:spPr>
          <a:xfrm>
            <a:off x="1169400" y="905475"/>
            <a:ext cx="2771100" cy="211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10.	  Dependent depends??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The data shows a clear preference for married applicants and those with 0 dependents are higher while 1 and 2 dependent are almost near.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</xdr:txBody>
      </xdr:sp>
    </xdr:grpSp>
    <xdr:clientData fLocksWithSheet="0"/>
  </xdr:oneCellAnchor>
  <xdr:oneCellAnchor>
    <xdr:from>
      <xdr:col>2</xdr:col>
      <xdr:colOff>352425</xdr:colOff>
      <xdr:row>43</xdr:row>
      <xdr:rowOff>209550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15" name="Shape 15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16" name="Shape 16"/>
          <xdr:cNvSpPr txBox="1"/>
        </xdr:nvSpPr>
        <xdr:spPr>
          <a:xfrm>
            <a:off x="1169400" y="946075"/>
            <a:ext cx="2852400" cy="204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9.</a:t>
            </a: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	Males are leading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Males are higher 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than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women loan applicants and graduate males leading in every property_area , especially semiurban as compared to not g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raduate males.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619125</xdr:colOff>
      <xdr:row>30</xdr:row>
      <xdr:rowOff>19050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17" name="Shape 17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18" name="Shape 18"/>
          <xdr:cNvSpPr txBox="1"/>
        </xdr:nvSpPr>
        <xdr:spPr>
          <a:xfrm>
            <a:off x="1179550" y="915625"/>
            <a:ext cx="2761200" cy="2070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7.	 Credit History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A positive credit history (</a:t>
            </a:r>
            <a:r>
              <a:rPr b="1"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1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) is the strongest predictor of success, with nearly all approvals ("Y") coming from this group, while those with no history (</a:t>
            </a:r>
            <a:r>
              <a:rPr b="1"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0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) face almost certain rejection.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4</xdr:col>
      <xdr:colOff>904875</xdr:colOff>
      <xdr:row>30</xdr:row>
      <xdr:rowOff>28575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19" name="Shape 19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20" name="Shape 20"/>
          <xdr:cNvSpPr txBox="1"/>
        </xdr:nvSpPr>
        <xdr:spPr>
          <a:xfrm>
            <a:off x="1159250" y="915625"/>
            <a:ext cx="2883000" cy="2101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7.	 Credit History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A positive credit history (</a:t>
            </a:r>
            <a:r>
              <a:rPr b="1"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1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) is the strongest predictor of success, with nearly all approvals ("Y") coming from this group, while those with no history (</a:t>
            </a:r>
            <a:r>
              <a:rPr b="1"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0</a:t>
            </a: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) face almost certain rejection.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266700</xdr:colOff>
      <xdr:row>29</xdr:row>
      <xdr:rowOff>180975</xdr:rowOff>
    </xdr:from>
    <xdr:ext cx="4276725" cy="2590800"/>
    <xdr:grpSp>
      <xdr:nvGrpSpPr>
        <xdr:cNvPr id="2" name="Shape 2" title="Drawing"/>
        <xdr:cNvGrpSpPr/>
      </xdr:nvGrpSpPr>
      <xdr:grpSpPr>
        <a:xfrm>
          <a:off x="976525" y="692300"/>
          <a:ext cx="4253400" cy="2568300"/>
          <a:chOff x="976525" y="692300"/>
          <a:chExt cx="4253400" cy="2568300"/>
        </a:xfrm>
      </xdr:grpSpPr>
      <xdr:sp>
        <xdr:nvSpPr>
          <xdr:cNvPr id="21" name="Shape 21"/>
          <xdr:cNvSpPr/>
        </xdr:nvSpPr>
        <xdr:spPr>
          <a:xfrm>
            <a:off x="976525" y="692300"/>
            <a:ext cx="4253400" cy="2568300"/>
          </a:xfrm>
          <a:prstGeom prst="homePlate">
            <a:avLst>
              <a:gd fmla="val 50000" name="adj"/>
            </a:avLst>
          </a:prstGeom>
          <a:solidFill>
            <a:srgbClr val="000000"/>
          </a:solidFill>
          <a:ln cap="flat" cmpd="sng" w="76200">
            <a:solidFill>
              <a:srgbClr val="C27B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FF00FF"/>
              </a:highlight>
            </a:endParaRPr>
          </a:p>
        </xdr:txBody>
      </xdr:sp>
      <xdr:sp>
        <xdr:nvSpPr>
          <xdr:cNvPr id="22" name="Shape 22"/>
          <xdr:cNvSpPr txBox="1"/>
        </xdr:nvSpPr>
        <xdr:spPr>
          <a:xfrm>
            <a:off x="1159250" y="895325"/>
            <a:ext cx="2761200" cy="213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7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    6.	Dependents :</a:t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-31750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400"/>
              <a:buFont typeface="Lobster"/>
              <a:buChar char="-"/>
            </a:pPr>
            <a:r>
              <a:rPr lang="en-US" sz="1400">
                <a:solidFill>
                  <a:srgbClr val="FFFFFF"/>
                </a:solidFill>
                <a:latin typeface="Lobster"/>
                <a:ea typeface="Lobster"/>
                <a:cs typeface="Lobster"/>
                <a:sym typeface="Lobster"/>
              </a:rPr>
              <a:t>Applicants with 0 dependent are in majority with 360 while applicants with 1 or 2 dependents are almost with 102 and 101.</a:t>
            </a:r>
            <a:endParaRPr i="1" sz="14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700">
              <a:solidFill>
                <a:srgbClr val="FFFFFF"/>
              </a:solidFill>
              <a:latin typeface="Lobster"/>
              <a:ea typeface="Lobster"/>
              <a:cs typeface="Lobster"/>
              <a:sym typeface="Lobster"/>
            </a:endParaRPr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15" sheet="finance.csv"/>
  </cacheSource>
  <cacheFields>
    <cacheField name="Loan_ID" numFmtId="0">
      <sharedItems>
        <s v="LP001002"/>
        <s v="LP001003"/>
        <s v="LP001005"/>
        <s v="LP001006"/>
        <s v="LP001008"/>
        <s v="LP001011"/>
        <s v="LP001013"/>
        <s v="LP001014"/>
        <s v="LP001018"/>
        <s v="LP001020"/>
        <s v="LP001024"/>
        <s v="LP001027"/>
        <s v="LP001028"/>
        <s v="LP001029"/>
        <s v="LP001030"/>
        <s v="LP001032"/>
        <s v="LP001034"/>
        <s v="LP001036"/>
        <s v="LP001038"/>
        <s v="LP001041"/>
        <s v="LP001043"/>
        <s v="LP001046"/>
        <s v="LP001047"/>
        <s v="LP001050"/>
        <s v="LP001052"/>
        <s v="LP001066"/>
        <s v="LP001068"/>
        <s v="LP001073"/>
        <s v="LP001086"/>
        <s v="LP001087"/>
        <s v="LP001091"/>
        <s v="LP001095"/>
        <s v="LP001097"/>
        <s v="LP001098"/>
        <s v="LP001100"/>
        <s v="LP001106"/>
        <s v="LP001109"/>
        <s v="LP001112"/>
        <s v="LP001114"/>
        <s v="LP001116"/>
        <s v="LP001119"/>
        <s v="LP001120"/>
        <s v="LP001123"/>
        <s v="LP001131"/>
        <s v="LP001136"/>
        <s v="LP001137"/>
        <s v="LP001138"/>
        <s v="LP001144"/>
        <s v="LP001146"/>
        <s v="LP001151"/>
        <s v="LP001155"/>
        <s v="LP001157"/>
        <s v="LP001164"/>
        <s v="LP001179"/>
        <s v="LP001186"/>
        <s v="LP001194"/>
        <s v="LP001195"/>
        <s v="LP001197"/>
        <s v="LP001198"/>
        <s v="LP001199"/>
        <s v="LP001205"/>
        <s v="LP001206"/>
        <s v="LP001207"/>
        <s v="LP001213"/>
        <s v="LP001222"/>
        <s v="LP001225"/>
        <s v="LP001228"/>
        <s v="LP001233"/>
        <s v="LP001238"/>
        <s v="LP001241"/>
        <s v="LP001243"/>
        <s v="LP001245"/>
        <s v="LP001248"/>
        <s v="LP001250"/>
        <s v="LP001253"/>
        <s v="LP001255"/>
        <s v="LP001256"/>
        <s v="LP001259"/>
        <s v="LP001263"/>
        <s v="LP001264"/>
        <s v="LP001265"/>
        <s v="LP001266"/>
        <s v="LP001267"/>
        <s v="LP001273"/>
        <s v="LP001275"/>
        <s v="LP001279"/>
        <s v="LP001280"/>
        <s v="LP001282"/>
        <s v="LP001289"/>
        <s v="LP001310"/>
        <s v="LP001316"/>
        <s v="LP001318"/>
        <s v="LP001319"/>
        <s v="LP001322"/>
        <s v="LP001325"/>
        <s v="LP001326"/>
        <s v="LP001327"/>
        <s v="LP001333"/>
        <s v="LP001334"/>
        <s v="LP001343"/>
        <s v="LP001345"/>
        <s v="LP001349"/>
        <s v="LP001350"/>
        <s v="LP001356"/>
        <s v="LP001357"/>
        <s v="LP001367"/>
        <s v="LP001369"/>
        <s v="LP001370"/>
        <s v="LP001379"/>
        <s v="LP001384"/>
        <s v="LP001385"/>
        <s v="LP001387"/>
        <s v="LP001391"/>
        <s v="LP001392"/>
        <s v="LP001398"/>
        <s v="LP001401"/>
        <s v="LP001404"/>
        <s v="LP001405"/>
        <s v="LP001421"/>
        <s v="LP001422"/>
        <s v="LP001426"/>
        <s v="LP001430"/>
        <s v="LP001431"/>
        <s v="LP001432"/>
        <s v="LP001439"/>
        <s v="LP001443"/>
        <s v="LP001448"/>
        <s v="LP001449"/>
        <s v="LP001451"/>
        <s v="LP001465"/>
        <s v="LP001469"/>
        <s v="LP001473"/>
        <s v="LP001478"/>
        <s v="LP001482"/>
        <s v="LP001487"/>
        <s v="LP001488"/>
        <s v="LP001489"/>
        <s v="LP001491"/>
        <s v="LP001492"/>
        <s v="LP001493"/>
        <s v="LP001497"/>
        <s v="LP001498"/>
        <s v="LP001504"/>
        <s v="LP001507"/>
        <s v="LP001508"/>
        <s v="LP001514"/>
        <s v="LP001516"/>
        <s v="LP001518"/>
        <s v="LP001519"/>
        <s v="LP001520"/>
        <s v="LP001528"/>
        <s v="LP001529"/>
        <s v="LP001531"/>
        <s v="LP001532"/>
        <s v="LP001535"/>
        <s v="LP001536"/>
        <s v="LP001541"/>
        <s v="LP001543"/>
        <s v="LP001546"/>
        <s v="LP001552"/>
        <s v="LP001560"/>
        <s v="LP001562"/>
        <s v="LP001565"/>
        <s v="LP001570"/>
        <s v="LP001572"/>
        <s v="LP001574"/>
        <s v="LP001577"/>
        <s v="LP001578"/>
        <s v="LP001579"/>
        <s v="LP001580"/>
        <s v="LP001581"/>
        <s v="LP001585"/>
        <s v="LP001586"/>
        <s v="LP001594"/>
        <s v="LP001603"/>
        <s v="LP001606"/>
        <s v="LP001608"/>
        <s v="LP001610"/>
        <s v="LP001616"/>
        <s v="LP001630"/>
        <s v="LP001633"/>
        <s v="LP001634"/>
        <s v="LP001636"/>
        <s v="LP001637"/>
        <s v="LP001639"/>
        <s v="LP001640"/>
        <s v="LP001641"/>
        <s v="LP001643"/>
        <s v="LP001644"/>
        <s v="LP001647"/>
        <s v="LP001653"/>
        <s v="LP001656"/>
        <s v="LP001657"/>
        <s v="LP001658"/>
        <s v="LP001664"/>
        <s v="LP001665"/>
        <s v="LP001666"/>
        <s v="LP001669"/>
        <s v="LP001671"/>
        <s v="LP001673"/>
        <s v="LP001674"/>
        <s v="LP001677"/>
        <s v="LP001682"/>
        <s v="LP001688"/>
        <s v="LP001691"/>
        <s v="LP001692"/>
        <s v="LP001693"/>
        <s v="LP001698"/>
        <s v="LP001699"/>
        <s v="LP001702"/>
        <s v="LP001708"/>
        <s v="LP001711"/>
        <s v="LP001713"/>
        <s v="LP001715"/>
        <s v="LP001716"/>
        <s v="LP001720"/>
        <s v="LP001722"/>
        <s v="LP001726"/>
        <s v="LP001732"/>
        <s v="LP001734"/>
        <s v="LP001736"/>
        <s v="LP001743"/>
        <s v="LP001744"/>
        <s v="LP001749"/>
        <s v="LP001750"/>
        <s v="LP001751"/>
        <s v="LP001754"/>
        <s v="LP001758"/>
        <s v="LP001760"/>
        <s v="LP001761"/>
        <s v="LP001765"/>
        <s v="LP001768"/>
        <s v="LP001770"/>
        <s v="LP001776"/>
        <s v="LP001778"/>
        <s v="LP001784"/>
        <s v="LP001786"/>
        <s v="LP001788"/>
        <s v="LP001790"/>
        <s v="LP001792"/>
        <s v="LP001798"/>
        <s v="LP001800"/>
        <s v="LP001806"/>
        <s v="LP001807"/>
        <s v="LP001811"/>
        <s v="LP001813"/>
        <s v="LP001814"/>
        <s v="LP001819"/>
        <s v="LP001824"/>
        <s v="LP001825"/>
        <s v="LP001835"/>
        <s v="LP001836"/>
        <s v="LP001841"/>
        <s v="LP001843"/>
        <s v="LP001844"/>
        <s v="LP001846"/>
        <s v="LP001849"/>
        <s v="LP001854"/>
        <s v="LP001859"/>
        <s v="LP001864"/>
        <s v="LP001865"/>
        <s v="LP001868"/>
        <s v="LP001870"/>
        <s v="LP001871"/>
        <s v="LP001872"/>
        <s v="LP001875"/>
        <s v="LP001877"/>
        <s v="LP001882"/>
        <s v="LP001883"/>
        <s v="LP001884"/>
        <s v="LP001888"/>
        <s v="LP001891"/>
        <s v="LP001892"/>
        <s v="LP001894"/>
        <s v="LP001896"/>
        <s v="LP001900"/>
        <s v="LP001903"/>
        <s v="LP001904"/>
        <s v="LP001907"/>
        <s v="LP001908"/>
        <s v="LP001910"/>
        <s v="LP001914"/>
        <s v="LP001915"/>
        <s v="LP001917"/>
        <s v="LP001922"/>
        <s v="LP001924"/>
        <s v="LP001925"/>
        <s v="LP001926"/>
        <s v="LP001931"/>
        <s v="LP001935"/>
        <s v="LP001936"/>
        <s v="LP001938"/>
        <s v="LP001940"/>
        <s v="LP001945"/>
        <s v="LP001947"/>
        <s v="LP001949"/>
        <s v="LP001953"/>
        <s v="LP001954"/>
        <s v="LP001955"/>
        <s v="LP001963"/>
        <s v="LP001964"/>
        <s v="LP001972"/>
        <s v="LP001974"/>
        <s v="LP001977"/>
        <s v="LP001978"/>
        <s v="LP001990"/>
        <s v="LP001993"/>
        <s v="LP001994"/>
        <s v="LP001996"/>
        <s v="LP001998"/>
        <s v="LP002002"/>
        <s v="LP002004"/>
        <s v="LP002006"/>
        <s v="LP002008"/>
        <s v="LP002024"/>
        <s v="LP002031"/>
        <s v="LP002035"/>
        <s v="LP002036"/>
        <s v="LP002043"/>
        <s v="LP002050"/>
        <s v="LP002051"/>
        <s v="LP002053"/>
        <s v="LP002054"/>
        <s v="LP002055"/>
        <s v="LP002065"/>
        <s v="LP002067"/>
        <s v="LP002068"/>
        <s v="LP002082"/>
        <s v="LP002086"/>
        <s v="LP002087"/>
        <s v="LP002097"/>
        <s v="LP002098"/>
        <s v="LP002100"/>
        <s v="LP002101"/>
        <s v="LP002103"/>
        <s v="LP002106"/>
        <s v="LP002110"/>
        <s v="LP002112"/>
        <s v="LP002113"/>
        <s v="LP002114"/>
        <s v="LP002115"/>
        <s v="LP002116"/>
        <s v="LP002119"/>
        <s v="LP002126"/>
        <s v="LP002128"/>
        <s v="LP002129"/>
        <s v="LP002130"/>
        <s v="LP002131"/>
        <s v="LP002137"/>
        <s v="LP002138"/>
        <s v="LP002139"/>
        <s v="LP002140"/>
        <s v="LP002141"/>
        <s v="LP002142"/>
        <s v="LP002143"/>
        <s v="LP002144"/>
        <s v="LP002149"/>
        <s v="LP002151"/>
        <s v="LP002158"/>
        <s v="LP002160"/>
        <s v="LP002161"/>
        <s v="LP002170"/>
        <s v="LP002175"/>
        <s v="LP002178"/>
        <s v="LP002180"/>
        <s v="LP002181"/>
        <s v="LP002187"/>
        <s v="LP002188"/>
        <s v="LP002190"/>
        <s v="LP002191"/>
        <s v="LP002194"/>
        <s v="LP002197"/>
        <s v="LP002201"/>
        <s v="LP002205"/>
        <s v="LP002209"/>
        <s v="LP002211"/>
        <s v="LP002219"/>
        <s v="LP002223"/>
        <s v="LP002224"/>
        <s v="LP002225"/>
        <s v="LP002226"/>
        <s v="LP002229"/>
        <s v="LP002231"/>
        <s v="LP002234"/>
        <s v="LP002236"/>
        <s v="LP002237"/>
        <s v="LP002239"/>
        <s v="LP002243"/>
        <s v="LP002244"/>
        <s v="LP002250"/>
        <s v="LP002255"/>
        <s v="LP002262"/>
        <s v="LP002263"/>
        <s v="LP002265"/>
        <s v="LP002266"/>
        <s v="LP002272"/>
        <s v="LP002277"/>
        <s v="LP002281"/>
        <s v="LP002284"/>
        <s v="LP002287"/>
        <s v="LP002288"/>
        <s v="LP002296"/>
        <s v="LP002297"/>
        <s v="LP002300"/>
        <s v="LP002301"/>
        <s v="LP002305"/>
        <s v="LP002308"/>
        <s v="LP002314"/>
        <s v="LP002315"/>
        <s v="LP002317"/>
        <s v="LP002318"/>
        <s v="LP002319"/>
        <s v="LP002328"/>
        <s v="LP002332"/>
        <s v="LP002335"/>
        <s v="LP002337"/>
        <s v="LP002341"/>
        <s v="LP002342"/>
        <s v="LP002345"/>
        <s v="LP002347"/>
        <s v="LP002348"/>
        <s v="LP002357"/>
        <s v="LP002361"/>
        <s v="LP002362"/>
        <s v="LP002364"/>
        <s v="LP002366"/>
        <s v="LP002367"/>
        <s v="LP002368"/>
        <s v="LP002369"/>
        <s v="LP002370"/>
        <s v="LP002377"/>
        <s v="LP002379"/>
        <s v="LP002386"/>
        <s v="LP002387"/>
        <s v="LP002390"/>
        <s v="LP002393"/>
        <s v="LP002398"/>
        <s v="LP002401"/>
        <s v="LP002403"/>
        <s v="LP002407"/>
        <s v="LP002408"/>
        <s v="LP002409"/>
        <s v="LP002418"/>
        <s v="LP002422"/>
        <s v="LP002424"/>
        <s v="LP002429"/>
        <s v="LP002434"/>
        <s v="LP002435"/>
        <s v="LP002443"/>
        <s v="LP002444"/>
        <s v="LP002446"/>
        <s v="LP002447"/>
        <s v="LP002448"/>
        <s v="LP002449"/>
        <s v="LP002453"/>
        <s v="LP002455"/>
        <s v="LP002459"/>
        <s v="LP002467"/>
        <s v="LP002472"/>
        <s v="LP002473"/>
        <s v="LP002478"/>
        <s v="LP002484"/>
        <s v="LP002487"/>
        <s v="LP002489"/>
        <s v="LP002493"/>
        <s v="LP002494"/>
        <s v="LP002500"/>
        <s v="LP002501"/>
        <s v="LP002502"/>
        <s v="LP002505"/>
        <s v="LP002515"/>
        <s v="LP002517"/>
        <s v="LP002519"/>
        <s v="LP002522"/>
        <s v="LP002524"/>
        <s v="LP002527"/>
        <s v="LP002529"/>
        <s v="LP002530"/>
        <s v="LP002531"/>
        <s v="LP002533"/>
        <s v="LP002534"/>
        <s v="LP002536"/>
        <s v="LP002537"/>
        <s v="LP002541"/>
        <s v="LP002543"/>
        <s v="LP002544"/>
        <s v="LP002545"/>
        <s v="LP002547"/>
        <s v="LP002555"/>
        <s v="LP002556"/>
        <s v="LP002560"/>
        <s v="LP002562"/>
        <s v="LP002571"/>
        <s v="LP002582"/>
        <s v="LP002585"/>
        <s v="LP002586"/>
        <s v="LP002587"/>
        <s v="LP002588"/>
        <s v="LP002600"/>
        <s v="LP002602"/>
        <s v="LP002603"/>
        <s v="LP002606"/>
        <s v="LP002615"/>
        <s v="LP002618"/>
        <s v="LP002619"/>
        <s v="LP002622"/>
        <s v="LP002624"/>
        <s v="LP002625"/>
        <s v="LP002626"/>
        <s v="LP002634"/>
        <s v="LP002637"/>
        <s v="LP002640"/>
        <s v="LP002643"/>
        <s v="LP002648"/>
        <s v="LP002652"/>
        <s v="LP002659"/>
        <s v="LP002670"/>
        <s v="LP002682"/>
        <s v="LP002683"/>
        <s v="LP002684"/>
        <s v="LP002689"/>
        <s v="LP002690"/>
        <s v="LP002692"/>
        <s v="LP002693"/>
        <s v="LP002697"/>
        <s v="LP002699"/>
        <s v="LP002705"/>
        <s v="LP002706"/>
        <s v="LP002714"/>
        <s v="LP002716"/>
        <s v="LP002717"/>
        <s v="LP002720"/>
        <s v="LP002723"/>
        <s v="LP002729"/>
        <s v="LP002731"/>
        <s v="LP002732"/>
        <s v="LP002734"/>
        <s v="LP002738"/>
        <s v="LP002739"/>
        <s v="LP002740"/>
        <s v="LP002741"/>
        <s v="LP002743"/>
        <s v="LP002753"/>
        <s v="LP002755"/>
        <s v="LP002757"/>
        <s v="LP002767"/>
        <s v="LP002768"/>
        <s v="LP002772"/>
        <s v="LP002776"/>
        <s v="LP002777"/>
        <s v="LP002778"/>
        <s v="LP002784"/>
        <s v="LP002785"/>
        <s v="LP002788"/>
        <s v="LP002789"/>
        <s v="LP002792"/>
        <s v="LP002794"/>
        <s v="LP002795"/>
        <s v="LP002798"/>
        <s v="LP002804"/>
        <s v="LP002807"/>
        <s v="LP002813"/>
        <s v="LP002820"/>
        <s v="LP002821"/>
        <s v="LP002832"/>
        <s v="LP002833"/>
        <s v="LP002836"/>
        <s v="LP002837"/>
        <s v="LP002840"/>
        <s v="LP002841"/>
        <s v="LP002842"/>
        <s v="LP002847"/>
        <s v="LP002855"/>
        <s v="LP002862"/>
        <s v="LP002863"/>
        <s v="LP002868"/>
        <s v="LP002872"/>
        <s v="LP002874"/>
        <s v="LP002877"/>
        <s v="LP002888"/>
        <s v="LP002892"/>
        <s v="LP002893"/>
        <s v="LP002894"/>
        <s v="LP002898"/>
        <s v="LP002911"/>
        <s v="LP002912"/>
        <s v="LP002916"/>
        <s v="LP002917"/>
        <s v="LP002925"/>
        <s v="LP002926"/>
        <s v="LP002928"/>
        <s v="LP002931"/>
        <s v="LP002933"/>
        <s v="LP002936"/>
        <s v="LP002938"/>
        <s v="LP002940"/>
        <s v="LP002941"/>
        <s v="LP002943"/>
        <s v="LP002945"/>
        <s v="LP002948"/>
        <s v="LP002949"/>
        <s v="LP002950"/>
        <s v="LP002953"/>
        <s v="LP002958"/>
        <s v="LP002959"/>
        <s v="LP002960"/>
        <s v="LP002961"/>
        <s v="LP002964"/>
        <s v="LP002974"/>
        <s v="LP002978"/>
        <s v="LP002979"/>
        <s v="LP002983"/>
        <s v="LP002984"/>
        <s v="LP002990"/>
      </sharedItems>
    </cacheField>
    <cacheField name="Gender" numFmtId="0">
      <sharedItems>
        <s v="Male"/>
        <s v="Female"/>
      </sharedItems>
    </cacheField>
    <cacheField name="Married" numFmtId="0">
      <sharedItems>
        <s v="No"/>
        <s v="Yes"/>
      </sharedItems>
    </cacheField>
    <cacheField name="Dependents">
      <sharedItems containsMixedTypes="1" containsNumber="1" containsInteger="1">
        <n v="0.0"/>
        <n v="1.0"/>
        <n v="2.0"/>
        <s v="3+"/>
      </sharedItems>
    </cacheField>
    <cacheField name="Education" numFmtId="0">
      <sharedItems>
        <s v="Graduate"/>
        <s v="Not Graduate"/>
      </sharedItems>
    </cacheField>
    <cacheField name="Self_Employed" numFmtId="0">
      <sharedItems>
        <s v="No"/>
        <s v="Yes"/>
      </sharedItems>
    </cacheField>
    <cacheField name="ApplicantIncome" numFmtId="0">
      <sharedItems containsSemiMixedTypes="0" containsString="0" containsNumber="1" containsInteger="1">
        <n v="5849.0"/>
        <n v="4583.0"/>
        <n v="3000.0"/>
        <n v="2583.0"/>
        <n v="6000.0"/>
        <n v="5417.0"/>
        <n v="2333.0"/>
        <n v="3036.0"/>
        <n v="4006.0"/>
        <n v="12841.0"/>
        <n v="3200.0"/>
        <n v="2500.0"/>
        <n v="3073.0"/>
        <n v="1853.0"/>
        <n v="1299.0"/>
        <n v="4950.0"/>
        <n v="3596.0"/>
        <n v="3510.0"/>
        <n v="4887.0"/>
        <n v="2600.0"/>
        <n v="7660.0"/>
        <n v="5955.0"/>
        <n v="3365.0"/>
        <n v="3717.0"/>
        <n v="9560.0"/>
        <n v="2799.0"/>
        <n v="4226.0"/>
        <n v="1442.0"/>
        <n v="3750.0"/>
        <n v="4166.0"/>
        <n v="3167.0"/>
        <n v="4692.0"/>
        <n v="3500.0"/>
        <n v="12500.0"/>
        <n v="2275.0"/>
        <n v="1828.0"/>
        <n v="3667.0"/>
        <n v="3748.0"/>
        <n v="3600.0"/>
        <n v="1800.0"/>
        <n v="2400.0"/>
        <n v="3941.0"/>
        <n v="4695.0"/>
        <n v="3410.0"/>
        <n v="5649.0"/>
        <n v="5821.0"/>
        <n v="2645.0"/>
        <n v="4000.0"/>
        <n v="1928.0"/>
        <n v="3086.0"/>
        <n v="4230.0"/>
        <n v="4616.0"/>
        <n v="11500.0"/>
        <n v="2708.0"/>
        <n v="2132.0"/>
        <n v="3366.0"/>
        <n v="8080.0"/>
        <n v="3357.0"/>
        <n v="3029.0"/>
        <n v="2609.0"/>
        <n v="4945.0"/>
        <n v="5726.0"/>
        <n v="10750.0"/>
        <n v="7100.0"/>
        <n v="4300.0"/>
        <n v="3208.0"/>
        <n v="1875.0"/>
        <n v="4755.0"/>
        <n v="5266.0"/>
        <n v="1000.0"/>
        <n v="3333.0"/>
        <n v="3846.0"/>
        <n v="2395.0"/>
        <n v="1378.0"/>
        <n v="3988.0"/>
        <n v="2366.0"/>
        <n v="8566.0"/>
        <n v="5695.0"/>
        <n v="2958.0"/>
        <n v="6250.0"/>
        <n v="3273.0"/>
        <n v="4133.0"/>
        <n v="3620.0"/>
        <n v="6782.0"/>
        <n v="2484.0"/>
        <n v="1977.0"/>
        <n v="4188.0"/>
        <n v="1759.0"/>
        <n v="4288.0"/>
        <n v="4843.0"/>
        <n v="13650.0"/>
        <n v="4652.0"/>
        <n v="3816.0"/>
        <n v="3052.0"/>
        <n v="11417.0"/>
        <n v="7333.0"/>
        <n v="3800.0"/>
        <n v="2071.0"/>
        <n v="5316.0"/>
        <n v="2929.0"/>
        <n v="3572.0"/>
        <n v="7451.0"/>
        <n v="5050.0"/>
        <n v="14583.0"/>
        <n v="2214.0"/>
        <n v="5568.0"/>
        <n v="10408.0"/>
        <n v="5667.0"/>
        <n v="2137.0"/>
        <n v="2957.0"/>
        <n v="3692.0"/>
        <n v="23803.0"/>
        <n v="3865.0"/>
        <n v="10513.0"/>
        <n v="6080.0"/>
        <n v="20166.0"/>
        <n v="2014.0"/>
        <n v="2718.0"/>
        <n v="3459.0"/>
        <n v="4895.0"/>
        <n v="3316.0"/>
        <n v="14999.0"/>
        <n v="4200.0"/>
        <n v="5042.0"/>
        <n v="6950.0"/>
        <n v="2698.0"/>
        <n v="11757.0"/>
        <n v="2330.0"/>
        <n v="14866.0"/>
        <n v="1538.0"/>
        <n v="10000.0"/>
        <n v="4860.0"/>
        <n v="6277.0"/>
        <n v="2577.0"/>
        <n v="9166.0"/>
        <n v="2281.0"/>
        <n v="3254.0"/>
        <n v="39999.0"/>
        <n v="9538.0"/>
        <n v="2980.0"/>
        <n v="1863.0"/>
        <n v="7933.0"/>
        <n v="3089.0"/>
        <n v="4167.0"/>
        <n v="9323.0"/>
        <n v="3707.0"/>
        <n v="2439.0"/>
        <n v="2237.0"/>
        <n v="8000.0"/>
        <n v="1820.0"/>
        <n v="51763.0"/>
        <n v="3522.0"/>
        <n v="5708.0"/>
        <n v="4344.0"/>
        <n v="3497.0"/>
        <n v="2045.0"/>
        <n v="5516.0"/>
        <n v="6400.0"/>
        <n v="1916.0"/>
        <n v="4600.0"/>
        <n v="33846.0"/>
        <n v="3625.0"/>
        <n v="39147.0"/>
        <n v="2178.0"/>
        <n v="2383.0"/>
        <n v="674.0"/>
        <n v="9328.0"/>
        <n v="4885.0"/>
        <n v="12000.0"/>
        <n v="6033.0"/>
        <n v="3858.0"/>
        <n v="4191.0"/>
        <n v="3125.0"/>
        <n v="8333.0"/>
        <n v="1907.0"/>
        <n v="3416.0"/>
        <n v="11000.0"/>
        <n v="4923.0"/>
        <n v="3992.0"/>
        <n v="3917.0"/>
        <n v="4408.0"/>
        <n v="3244.0"/>
        <n v="3975.0"/>
        <n v="2479.0"/>
        <n v="3418.0"/>
        <n v="3430.0"/>
        <n v="7787.0"/>
        <n v="5703.0"/>
        <n v="3173.0"/>
        <n v="3850.0"/>
        <n v="150.0"/>
        <n v="3727.0"/>
        <n v="5000.0"/>
        <n v="4283.0"/>
        <n v="2221.0"/>
        <n v="4009.0"/>
        <n v="2971.0"/>
        <n v="7578.0"/>
        <n v="3250.0"/>
        <n v="4735.0"/>
        <n v="4758.0"/>
        <n v="2491.0"/>
        <n v="3716.0"/>
        <n v="3189.0"/>
        <n v="3155.0"/>
        <n v="5500.0"/>
        <n v="5746.0"/>
        <n v="3463.0"/>
        <n v="3812.0"/>
        <n v="3315.0"/>
        <n v="5819.0"/>
        <n v="2510.0"/>
        <n v="2965.0"/>
        <n v="3406.0"/>
        <n v="6050.0"/>
        <n v="9703.0"/>
        <n v="6608.0"/>
        <n v="2882.0"/>
        <n v="1809.0"/>
        <n v="1668.0"/>
        <n v="3427.0"/>
        <n v="2661.0"/>
        <n v="16250.0"/>
        <n v="3083.0"/>
        <n v="6045.0"/>
        <n v="5250.0"/>
        <n v="14683.0"/>
        <n v="4931.0"/>
        <n v="6083.0"/>
        <n v="2060.0"/>
        <n v="3481.0"/>
        <n v="7200.0"/>
        <n v="5166.0"/>
        <n v="4095.0"/>
        <n v="4708.0"/>
        <n v="4333.0"/>
        <n v="2876.0"/>
        <n v="3237.0"/>
        <n v="11146.0"/>
        <n v="2833.0"/>
        <n v="2620.0"/>
        <n v="3900.0"/>
        <n v="2750.0"/>
        <n v="3993.0"/>
        <n v="3103.0"/>
        <n v="4100.0"/>
        <n v="4053.0"/>
        <n v="3927.0"/>
        <n v="2301.0"/>
        <n v="1811.0"/>
        <n v="20667.0"/>
        <n v="3158.0"/>
        <n v="3704.0"/>
        <n v="4124.0"/>
        <n v="9508.0"/>
        <n v="3075.0"/>
        <n v="4400.0"/>
        <n v="3153.0"/>
        <n v="4416.0"/>
        <n v="6875.0"/>
        <n v="4666.0"/>
        <n v="2875.0"/>
        <n v="1625.0"/>
        <n v="2000.0"/>
        <n v="3762.0"/>
        <n v="20233.0"/>
        <n v="7667.0"/>
        <n v="2917.0"/>
        <n v="2927.0"/>
        <n v="2507.0"/>
        <n v="2473.0"/>
        <n v="3399.0"/>
        <n v="2058.0"/>
        <n v="3541.0"/>
        <n v="4342.0"/>
        <n v="3601.0"/>
        <n v="3166.0"/>
        <n v="15000.0"/>
        <n v="8666.0"/>
        <n v="4917.0"/>
        <n v="5818.0"/>
        <n v="4384.0"/>
        <n v="2935.0"/>
        <n v="63337.0"/>
        <n v="9833.0"/>
        <n v="5503.0"/>
        <n v="1830.0"/>
        <n v="4160.0"/>
        <n v="2647.0"/>
        <n v="2378.0"/>
        <n v="4554.0"/>
        <n v="2499.0"/>
        <n v="3523.0"/>
        <n v="6333.0"/>
        <n v="2625.0"/>
        <n v="9083.0"/>
        <n v="8750.0"/>
        <n v="2666.0"/>
        <n v="2423.0"/>
        <n v="3813.0"/>
        <n v="3875.0"/>
        <n v="5167.0"/>
        <n v="4723.0"/>
        <n v="4750.0"/>
        <n v="3013.0"/>
        <n v="6822.0"/>
        <n v="6216.0"/>
        <n v="5124.0"/>
        <n v="6325.0"/>
        <n v="19730.0"/>
        <n v="15759.0"/>
        <n v="5185.0"/>
        <n v="3062.0"/>
        <n v="2764.0"/>
        <n v="4817.0"/>
        <n v="4310.0"/>
        <n v="3069.0"/>
        <n v="5391.0"/>
        <n v="5941.0"/>
        <n v="7167.0"/>
        <n v="4566.0"/>
        <n v="2346.0"/>
        <n v="3010.0"/>
        <n v="5488.0"/>
        <n v="9167.0"/>
        <n v="9504.0"/>
        <n v="1993.0"/>
        <n v="3100.0"/>
        <n v="3276.0"/>
        <n v="3180.0"/>
        <n v="3033.0"/>
        <n v="3902.0"/>
        <n v="1500.0"/>
        <n v="2889.0"/>
        <n v="2755.0"/>
        <n v="1963.0"/>
        <n v="7441.0"/>
        <n v="4547.0"/>
        <n v="2167.0"/>
        <n v="2213.0"/>
        <n v="8300.0"/>
        <n v="81000.0"/>
        <n v="3867.0"/>
        <n v="6256.0"/>
        <n v="6096.0"/>
        <n v="2253.0"/>
        <n v="2149.0"/>
        <n v="2995.0"/>
        <n v="1600.0"/>
        <n v="1025.0"/>
        <n v="3246.0"/>
        <n v="5829.0"/>
        <n v="2720.0"/>
        <n v="7250.0"/>
        <n v="14880.0"/>
        <n v="4606.0"/>
        <n v="5935.0"/>
        <n v="2920.0"/>
        <n v="2717.0"/>
        <n v="8624.0"/>
        <n v="6500.0"/>
        <n v="12876.0"/>
        <n v="2425.0"/>
        <n v="10047.0"/>
        <n v="1926.0"/>
        <n v="10416.0"/>
        <n v="7142.0"/>
        <n v="3660.0"/>
        <n v="7901.0"/>
        <n v="4707.0"/>
        <n v="37719.0"/>
        <n v="3466.0"/>
        <n v="3539.0"/>
        <n v="3340.0"/>
        <n v="2769.0"/>
        <n v="2309.0"/>
        <n v="1958.0"/>
        <n v="3948.0"/>
        <n v="2483.0"/>
        <n v="7085.0"/>
        <n v="3859.0"/>
        <n v="4301.0"/>
        <n v="3708.0"/>
        <n v="4354.0"/>
        <n v="8334.0"/>
        <n v="2083.0"/>
        <n v="7740.0"/>
        <n v="3015.0"/>
        <n v="5191.0"/>
        <n v="2947.0"/>
        <n v="16692.0"/>
        <n v="210.0"/>
        <n v="3450.0"/>
        <n v="2653.0"/>
        <n v="4691.0"/>
        <n v="5532.0"/>
        <n v="16525.0"/>
        <n v="6700.0"/>
        <n v="2873.0"/>
        <n v="16667.0"/>
        <n v="4350.0"/>
        <n v="3095.0"/>
        <n v="10833.0"/>
        <n v="3547.0"/>
        <n v="18333.0"/>
        <n v="2435.0"/>
        <n v="2699.0"/>
        <n v="5333.0"/>
        <n v="3691.0"/>
        <n v="17263.0"/>
        <n v="3597.0"/>
        <n v="3326.0"/>
        <n v="4625.0"/>
        <n v="2895.0"/>
        <n v="6283.0"/>
        <n v="645.0"/>
        <n v="3159.0"/>
        <n v="4865.0"/>
        <n v="4050.0"/>
        <n v="3814.0"/>
        <n v="20833.0"/>
        <n v="3583.0"/>
        <n v="13262.0"/>
        <n v="3598.0"/>
        <n v="6065.0"/>
        <n v="3283.0"/>
        <n v="2130.0"/>
        <n v="5815.0"/>
        <n v="2031.0"/>
        <n v="3074.0"/>
        <n v="4683.0"/>
        <n v="3400.0"/>
        <n v="2192.0"/>
        <n v="5677.0"/>
        <n v="7948.0"/>
        <n v="4680.0"/>
        <n v="17500.0"/>
        <n v="3775.0"/>
        <n v="5285.0"/>
        <n v="2679.0"/>
        <n v="6783.0"/>
        <n v="4281.0"/>
        <n v="3588.0"/>
        <n v="11250.0"/>
        <n v="18165.0"/>
        <n v="2550.0"/>
        <n v="6133.0"/>
        <n v="3617.0"/>
        <n v="6417.0"/>
        <n v="4608.0"/>
        <n v="2138.0"/>
        <n v="3652.0"/>
        <n v="2239.0"/>
        <n v="3017.0"/>
        <n v="2768.0"/>
        <n v="3358.0"/>
        <n v="2526.0"/>
        <n v="2785.0"/>
        <n v="6633.0"/>
        <n v="2492.0"/>
        <n v="2454.0"/>
        <n v="3593.0"/>
        <n v="5468.0"/>
        <n v="2667.0"/>
        <n v="10139.0"/>
        <n v="3887.0"/>
        <n v="4180.0"/>
        <n v="3675.0"/>
        <n v="19484.0"/>
        <n v="5923.0"/>
        <n v="5800.0"/>
        <n v="8799.0"/>
        <n v="4467.0"/>
        <n v="3417.0"/>
        <n v="5116.0"/>
        <n v="16666.0"/>
        <n v="6125.0"/>
        <n v="6406.0"/>
        <n v="3087.0"/>
        <n v="3229.0"/>
        <n v="1782.0"/>
        <n v="3182.0"/>
        <n v="6540.0"/>
        <n v="1836.0"/>
        <n v="1880.0"/>
        <n v="2787.0"/>
        <n v="2297.0"/>
        <n v="2165.0"/>
        <n v="2726.0"/>
        <n v="9357.0"/>
        <n v="16120.0"/>
        <n v="3833.0"/>
        <n v="6383.0"/>
        <n v="2987.0"/>
        <n v="9963.0"/>
        <n v="5780.0"/>
        <n v="416.0"/>
        <n v="2894.0"/>
        <n v="3676.0"/>
        <n v="3987.0"/>
        <n v="3232.0"/>
        <n v="2900.0"/>
        <n v="4106.0"/>
        <n v="8072.0"/>
        <n v="7583.0"/>
      </sharedItems>
    </cacheField>
    <cacheField name="CoapplicantIncome" numFmtId="0">
      <sharedItems containsSemiMixedTypes="0" containsString="0" containsNumber="1">
        <n v="0.0"/>
        <n v="1508.0"/>
        <n v="2358.0"/>
        <n v="4196.0"/>
        <n v="1516.0"/>
        <n v="2504.0"/>
        <n v="1526.0"/>
        <n v="10968.0"/>
        <n v="700.0"/>
        <n v="1840.0"/>
        <n v="8106.0"/>
        <n v="2840.0"/>
        <n v="1086.0"/>
        <n v="3500.0"/>
        <n v="5625.0"/>
        <n v="1911.0"/>
        <n v="1917.0"/>
        <n v="2925.0"/>
        <n v="2253.0"/>
        <n v="1040.0"/>
        <n v="2083.0"/>
        <n v="3369.0"/>
        <n v="1667.0"/>
        <n v="3000.0"/>
        <n v="2067.0"/>
        <n v="1330.0"/>
        <n v="1459.0"/>
        <n v="7210.0"/>
        <n v="1668.0"/>
        <n v="1213.0"/>
        <n v="2336.0"/>
        <n v="3440.0"/>
        <n v="2275.0"/>
        <n v="1644.0"/>
        <n v="1167.0"/>
        <n v="1591.0"/>
        <n v="2200.0"/>
        <n v="2250.0"/>
        <n v="2859.0"/>
        <n v="3796.0"/>
        <n v="3449.0"/>
        <n v="4595.0"/>
        <n v="2254.0"/>
        <n v="3066.0"/>
        <n v="1875.0"/>
        <n v="1774.0"/>
        <n v="4750.0"/>
        <n v="3022.0"/>
        <n v="4000.0"/>
        <n v="2166.0"/>
        <n v="1881.0"/>
        <n v="2531.0"/>
        <n v="2000.0"/>
        <n v="2118.0"/>
        <n v="4167.0"/>
        <n v="2900.0"/>
        <n v="5654.0"/>
        <n v="1820.0"/>
        <n v="2302.0"/>
        <n v="997.0"/>
        <n v="3541.0"/>
        <n v="3263.0"/>
        <n v="3806.0"/>
        <n v="3583.0"/>
        <n v="754.0"/>
        <n v="1030.0"/>
        <n v="1126.0"/>
        <n v="3600.0"/>
        <n v="2333.0"/>
        <n v="4114.0"/>
        <n v="2283.0"/>
        <n v="1398.0"/>
        <n v="2142.0"/>
        <n v="2667.0"/>
        <n v="8980.0"/>
        <n v="2014.0"/>
        <n v="1640.0"/>
        <n v="3850.0"/>
        <n v="2569.0"/>
        <n v="1929.0"/>
        <n v="7750.0"/>
        <n v="1430.0"/>
        <n v="2034.0"/>
        <n v="4486.0"/>
        <n v="1425.0"/>
        <n v="1666.0"/>
        <n v="830.0"/>
        <n v="3750.0"/>
        <n v="1041.0"/>
        <n v="1280.0"/>
        <n v="1447.0"/>
        <n v="3166.0"/>
        <n v="3333.0"/>
        <n v="1769.0"/>
        <n v="736.0"/>
        <n v="1964.0"/>
        <n v="1619.0"/>
        <n v="11300.0"/>
        <n v="1451.0"/>
        <n v="7250.0"/>
        <n v="5063.0"/>
        <n v="2138.0"/>
        <n v="5296.0"/>
        <n v="2583.0"/>
        <n v="2365.0"/>
        <n v="2816.0"/>
        <n v="2500.0"/>
        <n v="1083.0"/>
        <n v="1250.0"/>
        <n v="3021.0"/>
        <n v="983.0"/>
        <n v="1800.0"/>
        <n v="1775.0"/>
        <n v="2383.0"/>
        <n v="1717.0"/>
        <n v="2791.0"/>
        <n v="1010.0"/>
        <n v="1695.0"/>
        <n v="2054.0"/>
        <n v="2598.0"/>
        <n v="1779.0"/>
        <n v="1260.0"/>
        <n v="5000.0"/>
        <n v="1983.0"/>
        <n v="5701.0"/>
        <n v="1300.0"/>
        <n v="4417.0"/>
        <n v="4333.0"/>
        <n v="1843.0"/>
        <n v="1868.0"/>
        <n v="3890.0"/>
        <n v="2167.0"/>
        <n v="7101.0"/>
        <n v="2100.0"/>
        <n v="4250.0"/>
        <n v="2209.0"/>
        <n v="3447.0"/>
        <n v="1387.0"/>
        <n v="1811.0"/>
        <n v="1560.0"/>
        <n v="1857.0"/>
        <n v="2223.0"/>
        <n v="1842.0"/>
        <n v="3274.0"/>
        <n v="2426.0"/>
        <n v="800.0"/>
        <n v="985.7999878"/>
        <n v="3053.0"/>
        <n v="2416.0"/>
        <n v="3334.0"/>
        <n v="2541.0"/>
        <n v="2934.0"/>
        <n v="1750.0"/>
        <n v="1803.0"/>
        <n v="1863.0"/>
        <n v="2405.0"/>
        <n v="2134.0"/>
        <n v="189.0"/>
        <n v="1590.0"/>
        <n v="2985.0"/>
        <n v="4983.0"/>
        <n v="2160.0"/>
        <n v="2451.0"/>
        <n v="1793.0"/>
        <n v="1833.0"/>
        <n v="4490.0"/>
        <n v="688.0"/>
        <n v="4600.0"/>
        <n v="1587.0"/>
        <n v="1229.0"/>
        <n v="2330.0"/>
        <n v="2458.0"/>
        <n v="3230.0"/>
        <n v="2168.0"/>
        <n v="4583.0"/>
        <n v="6250.0"/>
        <n v="505.0"/>
        <n v="3167.0"/>
        <n v="3667.0"/>
        <n v="3033.0"/>
        <n v="5266.0"/>
        <n v="7873.0"/>
        <n v="1987.0"/>
        <n v="923.0"/>
        <n v="4996.0"/>
        <n v="4232.0"/>
        <n v="1600.0"/>
        <n v="3136.0"/>
        <n v="2417.0"/>
        <n v="2115.0"/>
        <n v="1625.0"/>
        <n v="1400.0"/>
        <n v="484.0"/>
        <n v="20000.0"/>
        <n v="2400.0"/>
        <n v="2033.0"/>
        <n v="3237.0"/>
        <n v="2773.0"/>
        <n v="1417.0"/>
        <n v="1719.0"/>
        <n v="4300.0"/>
        <n v="16.12000084"/>
        <n v="2340.0"/>
        <n v="1851.0"/>
        <n v="1125.0"/>
        <n v="5064.0"/>
        <n v="1993.0"/>
        <n v="8333.0"/>
        <n v="1210.0"/>
        <n v="1376.0"/>
        <n v="1710.0"/>
        <n v="1542.0"/>
        <n v="1255.0"/>
        <n v="1456.0"/>
        <n v="1733.0"/>
        <n v="2466.0"/>
        <n v="4083.0"/>
        <n v="2188.0"/>
        <n v="1664.0"/>
        <n v="2917.0"/>
        <n v="2079.0"/>
        <n v="1500.0"/>
        <n v="4648.0"/>
        <n v="1014.0"/>
        <n v="1872.0"/>
        <n v="1603.0"/>
        <n v="3150.0"/>
        <n v="2436.0"/>
        <n v="2785.0"/>
        <n v="1131.0"/>
        <n v="2157.0"/>
        <n v="913.0"/>
        <n v="1700.0"/>
        <n v="2857.0"/>
        <n v="4416.0"/>
        <n v="3683.0"/>
        <n v="5624.0"/>
        <n v="5302.0"/>
        <n v="1483.0"/>
        <n v="6667.0"/>
        <n v="3013.0"/>
        <n v="1287.0"/>
        <n v="2004.0"/>
        <n v="2035.0"/>
        <n v="6666.0"/>
        <n v="3666.0"/>
        <n v="3428.0"/>
        <n v="1632.0"/>
        <n v="1915.0"/>
        <n v="1742.0"/>
        <n v="1424.0"/>
        <n v="7166.0"/>
        <n v="2087.0"/>
        <n v="1302.0"/>
        <n v="5500.0"/>
        <n v="2042.0"/>
        <n v="3906.0"/>
        <n v="536.0"/>
        <n v="2845.0"/>
        <n v="2524.0"/>
        <n v="663.0"/>
        <n v="1950.0"/>
        <n v="1783.0"/>
        <n v="2016.0"/>
        <n v="2375.0"/>
        <n v="3250.0"/>
        <n v="4266.0"/>
        <n v="1032.0"/>
        <n v="2669.0"/>
        <n v="2306.0"/>
        <n v="242.0"/>
        <n v="2064.0"/>
        <n v="461.0"/>
        <n v="2210.0"/>
        <n v="2739.0"/>
        <n v="2232.0"/>
        <n v="33837.0"/>
        <n v="1522.0"/>
        <n v="3416.0"/>
        <n v="3300.0"/>
        <n v="1000.0"/>
        <n v="41667.0"/>
        <n v="2792.0"/>
        <n v="4301.0"/>
        <n v="3800.0"/>
        <n v="1411.0"/>
        <n v="240.0"/>
      </sharedItems>
    </cacheField>
    <cacheField name="LoanAmount" numFmtId="0">
      <sharedItems containsSemiMixedTypes="0" containsString="0" containsNumber="1" containsInteger="1">
        <n v="128.0"/>
        <n v="66.0"/>
        <n v="120.0"/>
        <n v="141.0"/>
        <n v="267.0"/>
        <n v="95.0"/>
        <n v="158.0"/>
        <n v="168.0"/>
        <n v="349.0"/>
        <n v="70.0"/>
        <n v="109.0"/>
        <n v="200.0"/>
        <n v="114.0"/>
        <n v="17.0"/>
        <n v="125.0"/>
        <n v="100.0"/>
        <n v="76.0"/>
        <n v="133.0"/>
        <n v="115.0"/>
        <n v="104.0"/>
        <n v="315.0"/>
        <n v="116.0"/>
        <n v="112.0"/>
        <n v="151.0"/>
        <n v="191.0"/>
        <n v="122.0"/>
        <n v="110.0"/>
        <n v="35.0"/>
        <n v="201.0"/>
        <n v="74.0"/>
        <n v="106.0"/>
        <n v="320.0"/>
        <n v="144.0"/>
        <n v="184.0"/>
        <n v="80.0"/>
        <n v="47.0"/>
        <n v="75.0"/>
        <n v="134.0"/>
        <n v="96.0"/>
        <n v="88.0"/>
        <n v="44.0"/>
        <n v="286.0"/>
        <n v="97.0"/>
        <n v="135.0"/>
        <n v="180.0"/>
        <n v="99.0"/>
        <n v="165.0"/>
        <n v="258.0"/>
        <n v="126.0"/>
        <n v="312.0"/>
        <n v="136.0"/>
        <n v="172.0"/>
        <n v="81.0"/>
        <n v="187.0"/>
        <n v="113.0"/>
        <n v="176.0"/>
        <n v="130.0"/>
        <n v="111.0"/>
        <n v="167.0"/>
        <n v="265.0"/>
        <n v="50.0"/>
        <n v="210.0"/>
        <n v="175.0"/>
        <n v="131.0"/>
        <n v="188.0"/>
        <n v="25.0"/>
        <n v="137.0"/>
        <n v="160.0"/>
        <n v="225.0"/>
        <n v="216.0"/>
        <n v="94.0"/>
        <n v="139.0"/>
        <n v="152.0"/>
        <n v="118.0"/>
        <n v="185.0"/>
        <n v="154.0"/>
        <n v="85.0"/>
        <n v="259.0"/>
        <n v="194.0"/>
        <n v="93.0"/>
        <n v="370.0"/>
        <n v="182.0"/>
        <n v="650.0"/>
        <n v="102.0"/>
        <n v="290.0"/>
        <n v="84.0"/>
        <n v="242.0"/>
        <n v="129.0"/>
        <n v="30.0"/>
        <n v="244.0"/>
        <n v="600.0"/>
        <n v="255.0"/>
        <n v="98.0"/>
        <n v="275.0"/>
        <n v="121.0"/>
        <n v="63.0"/>
        <n v="700.0"/>
        <n v="87.0"/>
        <n v="101.0"/>
        <n v="495.0"/>
        <n v="67.0"/>
        <n v="73.0"/>
        <n v="260.0"/>
        <n v="108.0"/>
        <n v="58.0"/>
        <n v="48.0"/>
        <n v="164.0"/>
        <n v="170.0"/>
        <n v="83.0"/>
        <n v="90.0"/>
        <n v="166.0"/>
        <n v="124.0"/>
        <n v="55.0"/>
        <n v="59.0"/>
        <n v="127.0"/>
        <n v="214.0"/>
        <n v="240.0"/>
        <n v="72.0"/>
        <n v="60.0"/>
        <n v="138.0"/>
        <n v="42.0"/>
        <n v="280.0"/>
        <n v="140.0"/>
        <n v="155.0"/>
        <n v="123.0"/>
        <n v="279.0"/>
        <n v="192.0"/>
        <n v="304.0"/>
        <n v="330.0"/>
        <n v="150.0"/>
        <n v="207.0"/>
        <n v="436.0"/>
        <n v="78.0"/>
        <n v="54.0"/>
        <n v="89.0"/>
        <n v="143.0"/>
        <n v="105.0"/>
        <n v="132.0"/>
        <n v="480.0"/>
        <n v="56.0"/>
        <n v="159.0"/>
        <n v="300.0"/>
        <n v="376.0"/>
        <n v="117.0"/>
        <n v="71.0"/>
        <n v="490.0"/>
        <n v="173.0"/>
        <n v="46.0"/>
        <n v="228.0"/>
        <n v="308.0"/>
        <n v="236.0"/>
        <n v="570.0"/>
        <n v="380.0"/>
        <n v="296.0"/>
        <n v="156.0"/>
        <n v="103.0"/>
        <n v="45.0"/>
        <n v="65.0"/>
        <n v="53.0"/>
        <n v="360.0"/>
        <n v="62.0"/>
        <n v="218.0"/>
        <n v="178.0"/>
        <n v="239.0"/>
        <n v="405.0"/>
        <n v="148.0"/>
        <n v="190.0"/>
        <n v="149.0"/>
        <n v="153.0"/>
        <n v="162.0"/>
        <n v="230.0"/>
        <n v="86.0"/>
        <n v="234.0"/>
        <n v="246.0"/>
        <n v="500.0"/>
        <n v="186.0"/>
        <n v="119.0"/>
        <n v="107.0"/>
        <n v="209.0"/>
        <n v="208.0"/>
        <n v="243.0"/>
        <n v="40.0"/>
        <n v="250.0"/>
        <n v="311.0"/>
        <n v="400.0"/>
        <n v="161.0"/>
        <n v="196.0"/>
        <n v="324.0"/>
        <n v="157.0"/>
        <n v="145.0"/>
        <n v="181.0"/>
        <n v="26.0"/>
        <n v="211.0"/>
        <n v="9.0"/>
        <n v="205.0"/>
        <n v="36.0"/>
        <n v="61.0"/>
        <n v="146.0"/>
        <n v="292.0"/>
        <n v="142.0"/>
        <n v="350.0"/>
        <n v="496.0"/>
        <n v="253.0"/>
      </sharedItems>
    </cacheField>
    <cacheField name="Loan_Amount_Term" numFmtId="0">
      <sharedItems containsSemiMixedTypes="0" containsString="0" containsNumber="1" containsInteger="1">
        <n v="360.0"/>
        <n v="120.0"/>
        <n v="240.0"/>
        <n v="180.0"/>
        <n v="60.0"/>
        <n v="300.0"/>
        <n v="480.0"/>
        <n v="36.0"/>
        <n v="84.0"/>
        <n v="12.0"/>
      </sharedItems>
    </cacheField>
    <cacheField name="Credit_History" numFmtId="0">
      <sharedItems containsSemiMixedTypes="0" containsString="0" containsNumber="1" containsInteger="1">
        <n v="1.0"/>
        <n v="0.0"/>
      </sharedItems>
    </cacheField>
    <cacheField name="Property_Area" numFmtId="0">
      <sharedItems>
        <s v="Urban"/>
        <s v="Rural"/>
        <s v="Semiurban"/>
      </sharedItems>
    </cacheField>
    <cacheField name="Loan_Status" numFmtId="0">
      <sharedItems>
        <s v="Y"/>
        <s v="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axis="axisRow" compact="0" outline="0" multipleItemSelectionAllowed="1" showAll="0" sortType="ascending">
      <items>
        <item x="1"/>
        <item x="2"/>
        <item x="0"/>
        <item t="default"/>
      </items>
    </pivotField>
    <pivotField name="Loan_Status" axis="axisCol" compact="0" outline="0" multipleItemSelectionAllowed="1" showAll="0" sortType="ascending">
      <items>
        <item x="1"/>
        <item x="0"/>
        <item t="default"/>
      </items>
    </pivotField>
  </pivotFields>
  <rowFields>
    <field x="11"/>
  </rowFields>
  <colFields>
    <field x="12"/>
  </colFields>
  <dataFields>
    <dataField name="COUNTA of Loan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F1:G4" firstHeaderRow="0" firstDataRow="1" firstDataCol="0"/>
  <pivotFields>
    <pivotField name="Loa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axis="axisRow" compact="0" outline="0" multipleItemSelectionAllowed="1" showAll="0" sortType="ascending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AVERAGE of ApplicantIncome" fld="6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I1:J4" firstHeaderRow="0" firstDataRow="1" firstDataCol="0"/>
  <pivotFields>
    <pivotField name="Loa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LoanAmount" fld="8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L1:M4" firstHeaderRow="0" firstDataRow="1" firstDataCol="0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axis="axisRow" compact="0" outline="0" multipleItemSelectionAllowed="1" showAll="0" sortType="ascending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Loan_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F7:G12" firstHeaderRow="0" firstDataRow="1" firstDataCol="0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Loan_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I7:L11" firstHeaderRow="0" firstDataRow="1" firstDataCol="1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axis="axisRow" compact="0" outline="0" multipleItemSelectionAllowed="1" showAll="0" sortType="ascending">
      <items>
        <item x="1"/>
        <item x="0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axis="axisCol" compact="0" outline="0" multipleItemSelectionAllowed="1" showAll="0" sortType="ascending">
      <items>
        <item x="1"/>
        <item x="0"/>
        <item t="default"/>
      </items>
    </pivotField>
  </pivotFields>
  <rowFields>
    <field x="10"/>
  </rowFields>
  <colFields>
    <field x="12"/>
  </colFields>
  <dataFields>
    <dataField name="COUNTA of Loan_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A8:D12" firstHeaderRow="0" firstDataRow="1" firstDataCol="1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axis="axisRow" compact="0" outline="0" multipleItemSelectionAllowed="1" showAll="0" sortType="ascending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axis="axisCol" compact="0" outline="0" multipleItemSelectionAllowed="1" showAll="0" sortType="ascending">
      <items>
        <item x="1"/>
        <item x="0"/>
        <item t="default"/>
      </items>
    </pivotField>
  </pivotFields>
  <rowFields>
    <field x="5"/>
  </rowFields>
  <colFields>
    <field x="12"/>
  </colFields>
  <dataFields>
    <dataField name="COUNTA of Loan_ID" fld="0" subtotal="count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A14:D21" firstHeaderRow="0" firstDataRow="3" firstDataCol="0"/>
  <pivotFields>
    <pivotField name="Loa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axis="axisRow" compact="0" outline="0" multipleItemSelectionAllowed="1" showAll="0" sortType="ascending">
      <items>
        <item x="1"/>
        <item x="0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axis="axisRow" compact="0" outline="0" multipleItemSelectionAllowed="1" showAll="0" sortType="ascending">
      <items>
        <item x="1"/>
        <item x="0"/>
        <item t="default"/>
      </items>
    </pivotField>
  </pivotFields>
  <rowFields>
    <field x="12"/>
    <field x="10"/>
  </rowFields>
  <colFields>
    <field x="-2"/>
  </colFields>
  <dataFields>
    <dataField name="AVERAGE of ApplicantIncome" fld="6" subtotal="average" baseField="0"/>
    <dataField name="AVERAGE of LoanAmount" fld="8" subtotal="average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compact="0" compactData="0">
  <location ref="F14:K22" firstHeaderRow="0" firstDataRow="2" firstDataCol="1"/>
  <pivotFields>
    <pivotField name="Loa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x="2"/>
        <item x="3"/>
        <item t="default"/>
      </items>
    </pivotField>
    <pivotField name="Education" axis="axisRow" compact="0" outline="0" multipleItemSelectionAllowed="1" showAll="0" sortType="ascending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axis="axisCol" compact="0" outline="0" multipleItemSelectionAllowed="1" showAll="0" sortType="ascending">
      <items>
        <item x="1"/>
        <item x="2"/>
        <item x="0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1"/>
    <field x="4"/>
  </rowFields>
  <colFields>
    <field x="11"/>
  </colFields>
  <dataFields>
    <dataField name="COUNTA of Loan_ID" fld="0" subtotal="count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compact="0" compactData="0">
  <location ref="A24:C35" firstHeaderRow="0" firstDataRow="2" firstDataCol="0"/>
  <pivotFields>
    <pivotField name="Loa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Married" axis="axisRow" compact="0" outline="0" multipleItemSelectionAllowed="1" showAll="0" sortType="ascending">
      <items>
        <item x="0"/>
        <item x="1"/>
        <item t="default"/>
      </items>
    </pivotField>
    <pivotField name="Dependents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ducation" compact="0" outline="0" multipleItemSelectionAllowed="1" showAll="0">
      <items>
        <item x="0"/>
        <item x="1"/>
        <item t="default"/>
      </items>
    </pivotField>
    <pivotField name="Self_Employed" compact="0" outline="0" multipleItemSelectionAllowed="1" showAll="0">
      <items>
        <item x="0"/>
        <item x="1"/>
        <item t="default"/>
      </items>
    </pivotField>
    <pivotField name="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Coapplicant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Loan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oan_Amount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edit_History" compact="0" outline="0" multipleItemSelectionAllowed="1" showAll="0">
      <items>
        <item x="0"/>
        <item x="1"/>
        <item t="default"/>
      </items>
    </pivotField>
    <pivotField name="Property_Area" compact="0" outline="0" multipleItemSelectionAllowed="1" showAll="0">
      <items>
        <item x="0"/>
        <item x="1"/>
        <item x="2"/>
        <item t="default"/>
      </items>
    </pivotField>
    <pivotField name="Loan_Status" compact="0" outline="0" multipleItemSelectionAllowed="1" showAll="0">
      <items>
        <item x="0"/>
        <item x="1"/>
        <item t="default"/>
      </items>
    </pivotField>
  </pivotFields>
  <rowFields>
    <field x="2"/>
    <field x="3"/>
  </rowFields>
  <dataFields>
    <dataField name="SUM of LoanAmoun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000000"/>
      </a:lt1>
      <a:dk2>
        <a:srgbClr val="FFFFFF"/>
      </a:dk2>
      <a:lt2>
        <a:srgbClr val="000000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6.0"/>
    <col customWidth="1" min="17" max="18" width="15.25"/>
    <col customWidth="1" min="19" max="19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4" t="s">
        <v>14</v>
      </c>
      <c r="C2" s="4" t="s">
        <v>15</v>
      </c>
      <c r="D2" s="5">
        <v>0.0</v>
      </c>
      <c r="E2" s="4" t="s">
        <v>16</v>
      </c>
      <c r="F2" s="4" t="s">
        <v>15</v>
      </c>
      <c r="G2" s="4">
        <v>5849.0</v>
      </c>
      <c r="H2" s="4">
        <v>0.0</v>
      </c>
      <c r="I2" s="4">
        <v>128.0</v>
      </c>
      <c r="J2" s="4">
        <v>360.0</v>
      </c>
      <c r="K2" s="4">
        <v>1.0</v>
      </c>
      <c r="L2" s="4" t="s">
        <v>17</v>
      </c>
      <c r="M2" s="4" t="s">
        <v>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19</v>
      </c>
      <c r="B3" s="4" t="s">
        <v>14</v>
      </c>
      <c r="C3" s="4" t="s">
        <v>20</v>
      </c>
      <c r="D3" s="5">
        <v>1.0</v>
      </c>
      <c r="E3" s="4" t="s">
        <v>16</v>
      </c>
      <c r="F3" s="4" t="s">
        <v>15</v>
      </c>
      <c r="G3" s="4">
        <v>4583.0</v>
      </c>
      <c r="H3" s="4">
        <v>1508.0</v>
      </c>
      <c r="I3" s="4">
        <v>128.0</v>
      </c>
      <c r="J3" s="4">
        <v>360.0</v>
      </c>
      <c r="K3" s="4">
        <v>1.0</v>
      </c>
      <c r="L3" s="4" t="s">
        <v>21</v>
      </c>
      <c r="M3" s="4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23</v>
      </c>
      <c r="B4" s="4" t="s">
        <v>14</v>
      </c>
      <c r="C4" s="4" t="s">
        <v>20</v>
      </c>
      <c r="D4" s="5">
        <v>0.0</v>
      </c>
      <c r="E4" s="4" t="s">
        <v>16</v>
      </c>
      <c r="F4" s="4" t="s">
        <v>20</v>
      </c>
      <c r="G4" s="4">
        <v>3000.0</v>
      </c>
      <c r="H4" s="4">
        <v>0.0</v>
      </c>
      <c r="I4" s="4">
        <v>66.0</v>
      </c>
      <c r="J4" s="4">
        <v>360.0</v>
      </c>
      <c r="K4" s="4">
        <v>1.0</v>
      </c>
      <c r="L4" s="4" t="s">
        <v>17</v>
      </c>
      <c r="M4" s="4" t="s">
        <v>18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24</v>
      </c>
      <c r="B5" s="4" t="s">
        <v>14</v>
      </c>
      <c r="C5" s="4" t="s">
        <v>20</v>
      </c>
      <c r="D5" s="5">
        <v>0.0</v>
      </c>
      <c r="E5" s="4" t="s">
        <v>25</v>
      </c>
      <c r="F5" s="4" t="s">
        <v>15</v>
      </c>
      <c r="G5" s="4">
        <v>2583.0</v>
      </c>
      <c r="H5" s="4">
        <v>2358.0</v>
      </c>
      <c r="I5" s="4">
        <v>120.0</v>
      </c>
      <c r="J5" s="4">
        <v>360.0</v>
      </c>
      <c r="K5" s="4">
        <v>1.0</v>
      </c>
      <c r="L5" s="4" t="s">
        <v>17</v>
      </c>
      <c r="M5" s="4" t="s">
        <v>18</v>
      </c>
      <c r="N5" s="3"/>
      <c r="O5" s="6"/>
      <c r="P5" s="7" t="s">
        <v>6</v>
      </c>
      <c r="Q5" s="7" t="s">
        <v>7</v>
      </c>
      <c r="R5" s="7" t="s">
        <v>8</v>
      </c>
      <c r="S5" s="4"/>
      <c r="T5" s="3"/>
      <c r="U5" s="3"/>
      <c r="V5" s="3"/>
      <c r="W5" s="3"/>
      <c r="X5" s="3"/>
      <c r="Y5" s="3"/>
      <c r="Z5" s="3"/>
    </row>
    <row r="6">
      <c r="A6" s="4" t="s">
        <v>26</v>
      </c>
      <c r="B6" s="4" t="s">
        <v>14</v>
      </c>
      <c r="C6" s="4" t="s">
        <v>15</v>
      </c>
      <c r="D6" s="5">
        <v>0.0</v>
      </c>
      <c r="E6" s="4" t="s">
        <v>16</v>
      </c>
      <c r="F6" s="4" t="s">
        <v>15</v>
      </c>
      <c r="G6" s="4">
        <v>6000.0</v>
      </c>
      <c r="H6" s="4">
        <v>0.0</v>
      </c>
      <c r="I6" s="4">
        <v>141.0</v>
      </c>
      <c r="J6" s="4">
        <v>360.0</v>
      </c>
      <c r="K6" s="4">
        <v>1.0</v>
      </c>
      <c r="L6" s="4" t="s">
        <v>17</v>
      </c>
      <c r="M6" s="4" t="s">
        <v>18</v>
      </c>
      <c r="N6" s="3"/>
      <c r="O6" s="7" t="s">
        <v>27</v>
      </c>
      <c r="P6" s="8">
        <f t="shared" ref="P6:R6" si="1">SUM(G:G)</f>
        <v>3317724</v>
      </c>
      <c r="Q6" s="8">
        <f t="shared" si="1"/>
        <v>995444.92</v>
      </c>
      <c r="R6" s="8">
        <f t="shared" si="1"/>
        <v>89492</v>
      </c>
      <c r="S6" s="3"/>
      <c r="T6" s="3"/>
      <c r="U6" s="3"/>
      <c r="V6" s="3"/>
      <c r="W6" s="3"/>
      <c r="X6" s="3"/>
      <c r="Y6" s="3"/>
      <c r="Z6" s="3"/>
    </row>
    <row r="7">
      <c r="A7" s="4" t="s">
        <v>28</v>
      </c>
      <c r="B7" s="4" t="s">
        <v>14</v>
      </c>
      <c r="C7" s="4" t="s">
        <v>20</v>
      </c>
      <c r="D7" s="5">
        <v>2.0</v>
      </c>
      <c r="E7" s="4" t="s">
        <v>16</v>
      </c>
      <c r="F7" s="4" t="s">
        <v>20</v>
      </c>
      <c r="G7" s="4">
        <v>5417.0</v>
      </c>
      <c r="H7" s="4">
        <v>4196.0</v>
      </c>
      <c r="I7" s="4">
        <v>267.0</v>
      </c>
      <c r="J7" s="4">
        <v>360.0</v>
      </c>
      <c r="K7" s="4">
        <v>1.0</v>
      </c>
      <c r="L7" s="4" t="s">
        <v>17</v>
      </c>
      <c r="M7" s="4" t="s">
        <v>18</v>
      </c>
      <c r="N7" s="3"/>
      <c r="O7" s="7" t="s">
        <v>29</v>
      </c>
      <c r="P7" s="9">
        <f t="shared" ref="P7:R7" si="2">AVERAGE(G:G)</f>
        <v>5403.459283</v>
      </c>
      <c r="Q7" s="9">
        <f t="shared" si="2"/>
        <v>1621.245798</v>
      </c>
      <c r="R7" s="9">
        <f t="shared" si="2"/>
        <v>145.752443</v>
      </c>
      <c r="S7" s="3"/>
      <c r="T7" s="3"/>
      <c r="U7" s="3"/>
      <c r="V7" s="3"/>
      <c r="W7" s="3"/>
      <c r="X7" s="3"/>
      <c r="Y7" s="3"/>
      <c r="Z7" s="3"/>
    </row>
    <row r="8">
      <c r="A8" s="4" t="s">
        <v>30</v>
      </c>
      <c r="B8" s="4" t="s">
        <v>14</v>
      </c>
      <c r="C8" s="4" t="s">
        <v>20</v>
      </c>
      <c r="D8" s="5">
        <v>0.0</v>
      </c>
      <c r="E8" s="4" t="s">
        <v>25</v>
      </c>
      <c r="F8" s="4" t="s">
        <v>15</v>
      </c>
      <c r="G8" s="4">
        <v>2333.0</v>
      </c>
      <c r="H8" s="4">
        <v>1516.0</v>
      </c>
      <c r="I8" s="4">
        <v>95.0</v>
      </c>
      <c r="J8" s="4">
        <v>360.0</v>
      </c>
      <c r="K8" s="4">
        <v>1.0</v>
      </c>
      <c r="L8" s="4" t="s">
        <v>17</v>
      </c>
      <c r="M8" s="4" t="s">
        <v>18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31</v>
      </c>
      <c r="B9" s="4" t="s">
        <v>14</v>
      </c>
      <c r="C9" s="4" t="s">
        <v>20</v>
      </c>
      <c r="D9" s="5" t="s">
        <v>32</v>
      </c>
      <c r="E9" s="4" t="s">
        <v>16</v>
      </c>
      <c r="F9" s="4" t="s">
        <v>15</v>
      </c>
      <c r="G9" s="4">
        <v>3036.0</v>
      </c>
      <c r="H9" s="4">
        <v>2504.0</v>
      </c>
      <c r="I9" s="4">
        <v>158.0</v>
      </c>
      <c r="J9" s="4">
        <v>360.0</v>
      </c>
      <c r="K9" s="4">
        <v>0.0</v>
      </c>
      <c r="L9" s="4" t="s">
        <v>33</v>
      </c>
      <c r="M9" s="4" t="s">
        <v>22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34</v>
      </c>
      <c r="B10" s="4" t="s">
        <v>14</v>
      </c>
      <c r="C10" s="4" t="s">
        <v>20</v>
      </c>
      <c r="D10" s="5">
        <v>2.0</v>
      </c>
      <c r="E10" s="4" t="s">
        <v>16</v>
      </c>
      <c r="F10" s="4" t="s">
        <v>15</v>
      </c>
      <c r="G10" s="4">
        <v>4006.0</v>
      </c>
      <c r="H10" s="4">
        <v>1526.0</v>
      </c>
      <c r="I10" s="4">
        <v>168.0</v>
      </c>
      <c r="J10" s="4">
        <v>360.0</v>
      </c>
      <c r="K10" s="4">
        <v>1.0</v>
      </c>
      <c r="L10" s="4" t="s">
        <v>17</v>
      </c>
      <c r="M10" s="4" t="s">
        <v>18</v>
      </c>
      <c r="N10" s="3"/>
      <c r="O10" s="3"/>
      <c r="P10" s="10" t="s">
        <v>9</v>
      </c>
      <c r="Q10" s="7" t="s">
        <v>6</v>
      </c>
      <c r="R10" s="7" t="s">
        <v>7</v>
      </c>
      <c r="S10" s="7" t="s">
        <v>8</v>
      </c>
      <c r="T10" s="4" t="s">
        <v>35</v>
      </c>
      <c r="U10" s="4" t="s">
        <v>35</v>
      </c>
      <c r="V10" s="4"/>
      <c r="W10" s="4" t="s">
        <v>35</v>
      </c>
      <c r="X10" s="4" t="s">
        <v>35</v>
      </c>
      <c r="Y10" s="3"/>
      <c r="Z10" s="3"/>
    </row>
    <row r="11">
      <c r="A11" s="4" t="s">
        <v>36</v>
      </c>
      <c r="B11" s="4" t="s">
        <v>14</v>
      </c>
      <c r="C11" s="4" t="s">
        <v>20</v>
      </c>
      <c r="D11" s="5">
        <v>1.0</v>
      </c>
      <c r="E11" s="4" t="s">
        <v>16</v>
      </c>
      <c r="F11" s="4" t="s">
        <v>15</v>
      </c>
      <c r="G11" s="4">
        <v>12841.0</v>
      </c>
      <c r="H11" s="4">
        <v>10968.0</v>
      </c>
      <c r="I11" s="4">
        <v>349.0</v>
      </c>
      <c r="J11" s="4">
        <v>360.0</v>
      </c>
      <c r="K11" s="4">
        <v>1.0</v>
      </c>
      <c r="L11" s="4" t="s">
        <v>33</v>
      </c>
      <c r="M11" s="4" t="s">
        <v>22</v>
      </c>
      <c r="N11" s="3"/>
      <c r="O11" s="11" t="s">
        <v>37</v>
      </c>
      <c r="P11" s="8">
        <f>MAX(J:J)</f>
        <v>480</v>
      </c>
      <c r="Q11" s="8">
        <f t="shared" ref="Q11:S11" si="3">MAX(G:G)</f>
        <v>81000</v>
      </c>
      <c r="R11" s="8">
        <f t="shared" si="3"/>
        <v>41667</v>
      </c>
      <c r="S11" s="12">
        <f t="shared" si="3"/>
        <v>700</v>
      </c>
      <c r="T11" s="3"/>
      <c r="U11" s="3"/>
      <c r="V11" s="3"/>
      <c r="W11" s="3"/>
      <c r="X11" s="3"/>
      <c r="Y11" s="3"/>
      <c r="Z11" s="3"/>
    </row>
    <row r="12">
      <c r="A12" s="4" t="s">
        <v>38</v>
      </c>
      <c r="B12" s="4" t="s">
        <v>14</v>
      </c>
      <c r="C12" s="4" t="s">
        <v>20</v>
      </c>
      <c r="D12" s="5">
        <v>2.0</v>
      </c>
      <c r="E12" s="4" t="s">
        <v>16</v>
      </c>
      <c r="F12" s="4" t="s">
        <v>15</v>
      </c>
      <c r="G12" s="4">
        <v>3200.0</v>
      </c>
      <c r="H12" s="4">
        <v>700.0</v>
      </c>
      <c r="I12" s="4">
        <v>70.0</v>
      </c>
      <c r="J12" s="4">
        <v>360.0</v>
      </c>
      <c r="K12" s="4">
        <v>1.0</v>
      </c>
      <c r="L12" s="4" t="s">
        <v>17</v>
      </c>
      <c r="M12" s="4" t="s">
        <v>18</v>
      </c>
      <c r="N12" s="3"/>
      <c r="O12" s="7" t="s">
        <v>39</v>
      </c>
      <c r="P12" s="8">
        <f>MIN(J:J)</f>
        <v>12</v>
      </c>
      <c r="Q12" s="8">
        <f t="shared" ref="Q12:S12" si="4">MIN(G:G)</f>
        <v>150</v>
      </c>
      <c r="R12" s="8">
        <f t="shared" si="4"/>
        <v>0</v>
      </c>
      <c r="S12" s="8">
        <f t="shared" si="4"/>
        <v>9</v>
      </c>
      <c r="T12" s="3"/>
      <c r="U12" s="3"/>
      <c r="V12" s="3"/>
      <c r="W12" s="3"/>
      <c r="X12" s="3"/>
      <c r="Y12" s="3"/>
      <c r="Z12" s="3"/>
    </row>
    <row r="13">
      <c r="A13" s="4" t="s">
        <v>40</v>
      </c>
      <c r="B13" s="4" t="s">
        <v>14</v>
      </c>
      <c r="C13" s="4" t="s">
        <v>20</v>
      </c>
      <c r="D13" s="5">
        <v>2.0</v>
      </c>
      <c r="E13" s="4" t="s">
        <v>16</v>
      </c>
      <c r="F13" s="4" t="s">
        <v>15</v>
      </c>
      <c r="G13" s="4">
        <v>2500.0</v>
      </c>
      <c r="H13" s="4">
        <v>1840.0</v>
      </c>
      <c r="I13" s="4">
        <v>109.0</v>
      </c>
      <c r="J13" s="4">
        <v>360.0</v>
      </c>
      <c r="K13" s="4">
        <v>1.0</v>
      </c>
      <c r="L13" s="4" t="s">
        <v>17</v>
      </c>
      <c r="M13" s="4" t="s">
        <v>18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41</v>
      </c>
      <c r="B14" s="4" t="s">
        <v>14</v>
      </c>
      <c r="C14" s="4" t="s">
        <v>20</v>
      </c>
      <c r="D14" s="5">
        <v>2.0</v>
      </c>
      <c r="E14" s="4" t="s">
        <v>16</v>
      </c>
      <c r="F14" s="4" t="s">
        <v>15</v>
      </c>
      <c r="G14" s="4">
        <v>3073.0</v>
      </c>
      <c r="H14" s="4">
        <v>8106.0</v>
      </c>
      <c r="I14" s="4">
        <v>200.0</v>
      </c>
      <c r="J14" s="4">
        <v>360.0</v>
      </c>
      <c r="K14" s="4">
        <v>1.0</v>
      </c>
      <c r="L14" s="4" t="s">
        <v>17</v>
      </c>
      <c r="M14" s="4" t="s">
        <v>18</v>
      </c>
      <c r="N14" s="3"/>
      <c r="O14" s="3"/>
      <c r="P14" s="4" t="s">
        <v>35</v>
      </c>
      <c r="Q14" s="4" t="s">
        <v>35</v>
      </c>
      <c r="R14" s="4" t="s">
        <v>35</v>
      </c>
      <c r="S14" s="3"/>
      <c r="T14" s="3"/>
      <c r="U14" s="3"/>
      <c r="V14" s="3"/>
      <c r="W14" s="3"/>
      <c r="X14" s="3"/>
      <c r="Y14" s="3"/>
      <c r="Z14" s="3"/>
    </row>
    <row r="15">
      <c r="A15" s="4" t="s">
        <v>42</v>
      </c>
      <c r="B15" s="4" t="s">
        <v>14</v>
      </c>
      <c r="C15" s="4" t="s">
        <v>15</v>
      </c>
      <c r="D15" s="5">
        <v>0.0</v>
      </c>
      <c r="E15" s="4" t="s">
        <v>16</v>
      </c>
      <c r="F15" s="4" t="s">
        <v>15</v>
      </c>
      <c r="G15" s="4">
        <v>1853.0</v>
      </c>
      <c r="H15" s="4">
        <v>2840.0</v>
      </c>
      <c r="I15" s="4">
        <v>114.0</v>
      </c>
      <c r="J15" s="4">
        <v>360.0</v>
      </c>
      <c r="K15" s="4">
        <v>1.0</v>
      </c>
      <c r="L15" s="4" t="s">
        <v>21</v>
      </c>
      <c r="M15" s="4" t="s">
        <v>22</v>
      </c>
      <c r="N15" s="3"/>
      <c r="O15" s="4" t="s">
        <v>35</v>
      </c>
      <c r="P15" s="3"/>
      <c r="Q15" s="13" t="s">
        <v>43</v>
      </c>
      <c r="R15" s="3"/>
      <c r="S15" s="3"/>
      <c r="T15" s="14" t="s">
        <v>44</v>
      </c>
      <c r="U15" s="15">
        <f>COUNTIF(C:C,"yes")</f>
        <v>401</v>
      </c>
      <c r="V15" s="3"/>
      <c r="W15" s="3"/>
      <c r="X15" s="3"/>
      <c r="Y15" s="3"/>
      <c r="Z15" s="3"/>
    </row>
    <row r="16">
      <c r="A16" s="4" t="s">
        <v>45</v>
      </c>
      <c r="B16" s="4" t="s">
        <v>14</v>
      </c>
      <c r="C16" s="4" t="s">
        <v>20</v>
      </c>
      <c r="D16" s="5">
        <v>2.0</v>
      </c>
      <c r="E16" s="4" t="s">
        <v>16</v>
      </c>
      <c r="F16" s="4" t="s">
        <v>15</v>
      </c>
      <c r="G16" s="4">
        <v>1299.0</v>
      </c>
      <c r="H16" s="4">
        <v>1086.0</v>
      </c>
      <c r="I16" s="4">
        <v>17.0</v>
      </c>
      <c r="J16" s="4">
        <v>120.0</v>
      </c>
      <c r="K16" s="4">
        <v>1.0</v>
      </c>
      <c r="L16" s="4" t="s">
        <v>17</v>
      </c>
      <c r="M16" s="4" t="s">
        <v>18</v>
      </c>
      <c r="N16" s="3"/>
      <c r="O16" s="3"/>
      <c r="P16" s="11" t="s">
        <v>46</v>
      </c>
      <c r="Q16" s="8">
        <f>COUNTIF(L:L,"urban")</f>
        <v>202</v>
      </c>
      <c r="R16" s="3"/>
      <c r="S16" s="3"/>
      <c r="T16" s="16" t="s">
        <v>47</v>
      </c>
      <c r="U16" s="17">
        <f>COUNTIF(C:C,"no")</f>
        <v>213</v>
      </c>
      <c r="V16" s="3"/>
      <c r="W16" s="3"/>
      <c r="X16" s="3"/>
      <c r="Y16" s="3"/>
      <c r="Z16" s="3"/>
    </row>
    <row r="17">
      <c r="A17" s="4" t="s">
        <v>48</v>
      </c>
      <c r="B17" s="4" t="s">
        <v>14</v>
      </c>
      <c r="C17" s="4" t="s">
        <v>15</v>
      </c>
      <c r="D17" s="5">
        <v>0.0</v>
      </c>
      <c r="E17" s="4" t="s">
        <v>16</v>
      </c>
      <c r="F17" s="4" t="s">
        <v>15</v>
      </c>
      <c r="G17" s="4">
        <v>4950.0</v>
      </c>
      <c r="H17" s="4">
        <v>0.0</v>
      </c>
      <c r="I17" s="4">
        <v>125.0</v>
      </c>
      <c r="J17" s="4">
        <v>360.0</v>
      </c>
      <c r="K17" s="4">
        <v>1.0</v>
      </c>
      <c r="L17" s="4" t="s">
        <v>17</v>
      </c>
      <c r="M17" s="4" t="s">
        <v>18</v>
      </c>
      <c r="N17" s="3"/>
      <c r="O17" s="3"/>
      <c r="P17" s="7" t="s">
        <v>49</v>
      </c>
      <c r="Q17" s="8">
        <f>COUNTIF(L:L,"rural")</f>
        <v>179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50</v>
      </c>
      <c r="B18" s="4" t="s">
        <v>14</v>
      </c>
      <c r="C18" s="4" t="s">
        <v>15</v>
      </c>
      <c r="D18" s="5">
        <v>1.0</v>
      </c>
      <c r="E18" s="4" t="s">
        <v>25</v>
      </c>
      <c r="F18" s="4" t="s">
        <v>15</v>
      </c>
      <c r="G18" s="4">
        <v>3596.0</v>
      </c>
      <c r="H18" s="4">
        <v>0.0</v>
      </c>
      <c r="I18" s="4">
        <v>100.0</v>
      </c>
      <c r="J18" s="4">
        <v>240.0</v>
      </c>
      <c r="K18" s="4">
        <v>1.0</v>
      </c>
      <c r="L18" s="4" t="s">
        <v>17</v>
      </c>
      <c r="M18" s="4" t="s">
        <v>18</v>
      </c>
      <c r="N18" s="3"/>
      <c r="O18" s="3"/>
      <c r="P18" s="7" t="s">
        <v>51</v>
      </c>
      <c r="Q18" s="8">
        <f>COUNTIF(L:L,"semiurban")</f>
        <v>233</v>
      </c>
      <c r="R18" s="3"/>
      <c r="S18" s="3"/>
      <c r="T18" s="10" t="s">
        <v>52</v>
      </c>
      <c r="U18" s="3"/>
      <c r="V18" s="3"/>
      <c r="W18" s="3"/>
      <c r="X18" s="3"/>
      <c r="Y18" s="3"/>
      <c r="Z18" s="3"/>
    </row>
    <row r="19">
      <c r="A19" s="4" t="s">
        <v>53</v>
      </c>
      <c r="B19" s="4" t="s">
        <v>54</v>
      </c>
      <c r="C19" s="4" t="s">
        <v>15</v>
      </c>
      <c r="D19" s="5">
        <v>0.0</v>
      </c>
      <c r="E19" s="4" t="s">
        <v>16</v>
      </c>
      <c r="F19" s="4" t="s">
        <v>15</v>
      </c>
      <c r="G19" s="4">
        <v>3510.0</v>
      </c>
      <c r="H19" s="4">
        <v>0.0</v>
      </c>
      <c r="I19" s="4">
        <v>76.0</v>
      </c>
      <c r="J19" s="4">
        <v>360.0</v>
      </c>
      <c r="K19" s="4">
        <v>0.0</v>
      </c>
      <c r="L19" s="4" t="s">
        <v>17</v>
      </c>
      <c r="M19" s="4" t="s">
        <v>22</v>
      </c>
      <c r="N19" s="3"/>
      <c r="O19" s="3"/>
      <c r="P19" s="7" t="s">
        <v>55</v>
      </c>
      <c r="Q19" s="8">
        <f>SUM(Q16:Q18)</f>
        <v>614</v>
      </c>
      <c r="R19" s="3"/>
      <c r="S19" s="11" t="s">
        <v>56</v>
      </c>
      <c r="T19" s="8">
        <f>COUNTIF(E:E,"graduate")</f>
        <v>480</v>
      </c>
      <c r="U19" s="3"/>
      <c r="V19" s="3"/>
      <c r="W19" s="3"/>
      <c r="X19" s="3"/>
      <c r="Y19" s="3"/>
      <c r="Z19" s="3"/>
    </row>
    <row r="20">
      <c r="A20" s="4" t="s">
        <v>57</v>
      </c>
      <c r="B20" s="4" t="s">
        <v>14</v>
      </c>
      <c r="C20" s="4" t="s">
        <v>20</v>
      </c>
      <c r="D20" s="5">
        <v>0.0</v>
      </c>
      <c r="E20" s="4" t="s">
        <v>25</v>
      </c>
      <c r="F20" s="4" t="s">
        <v>15</v>
      </c>
      <c r="G20" s="4">
        <v>4887.0</v>
      </c>
      <c r="H20" s="4">
        <v>0.0</v>
      </c>
      <c r="I20" s="4">
        <v>133.0</v>
      </c>
      <c r="J20" s="4">
        <v>360.0</v>
      </c>
      <c r="K20" s="4">
        <v>1.0</v>
      </c>
      <c r="L20" s="4" t="s">
        <v>21</v>
      </c>
      <c r="M20" s="4" t="s">
        <v>22</v>
      </c>
      <c r="N20" s="3"/>
      <c r="O20" s="3"/>
      <c r="P20" s="3"/>
      <c r="Q20" s="3"/>
      <c r="R20" s="3"/>
      <c r="S20" s="7" t="s">
        <v>58</v>
      </c>
      <c r="T20" s="8">
        <f>COUNTIF( E:E,"not graduate")</f>
        <v>134</v>
      </c>
      <c r="U20" s="3"/>
      <c r="V20" s="3"/>
      <c r="W20" s="3"/>
      <c r="X20" s="3"/>
      <c r="Y20" s="3"/>
      <c r="Z20" s="3"/>
    </row>
    <row r="21">
      <c r="A21" s="4" t="s">
        <v>59</v>
      </c>
      <c r="B21" s="4" t="s">
        <v>14</v>
      </c>
      <c r="C21" s="4" t="s">
        <v>20</v>
      </c>
      <c r="D21" s="5">
        <v>0.0</v>
      </c>
      <c r="E21" s="4" t="s">
        <v>16</v>
      </c>
      <c r="F21" s="4" t="s">
        <v>15</v>
      </c>
      <c r="G21" s="4">
        <v>2600.0</v>
      </c>
      <c r="H21" s="4">
        <v>3500.0</v>
      </c>
      <c r="I21" s="4">
        <v>115.0</v>
      </c>
      <c r="J21" s="4">
        <v>360.0</v>
      </c>
      <c r="K21" s="4">
        <v>1.0</v>
      </c>
      <c r="L21" s="4" t="s">
        <v>17</v>
      </c>
      <c r="M21" s="4" t="s">
        <v>18</v>
      </c>
      <c r="N21" s="3"/>
      <c r="O21" s="3"/>
      <c r="P21" s="3"/>
      <c r="Q21" s="13" t="s">
        <v>60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61</v>
      </c>
      <c r="B22" s="4" t="s">
        <v>14</v>
      </c>
      <c r="C22" s="4" t="s">
        <v>20</v>
      </c>
      <c r="D22" s="5">
        <v>0.0</v>
      </c>
      <c r="E22" s="4" t="s">
        <v>25</v>
      </c>
      <c r="F22" s="4" t="s">
        <v>15</v>
      </c>
      <c r="G22" s="4">
        <v>7660.0</v>
      </c>
      <c r="H22" s="4">
        <v>0.0</v>
      </c>
      <c r="I22" s="4">
        <v>104.0</v>
      </c>
      <c r="J22" s="4">
        <v>360.0</v>
      </c>
      <c r="K22" s="4">
        <v>0.0</v>
      </c>
      <c r="L22" s="4" t="s">
        <v>17</v>
      </c>
      <c r="M22" s="4" t="s">
        <v>22</v>
      </c>
      <c r="N22" s="3"/>
      <c r="O22" s="3"/>
      <c r="P22" s="11" t="s">
        <v>62</v>
      </c>
      <c r="Q22" s="8">
        <f>COUNTIF(B:B,"female")</f>
        <v>112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63</v>
      </c>
      <c r="B23" s="4" t="s">
        <v>14</v>
      </c>
      <c r="C23" s="4" t="s">
        <v>20</v>
      </c>
      <c r="D23" s="5">
        <v>1.0</v>
      </c>
      <c r="E23" s="4" t="s">
        <v>16</v>
      </c>
      <c r="F23" s="4" t="s">
        <v>15</v>
      </c>
      <c r="G23" s="4">
        <v>5955.0</v>
      </c>
      <c r="H23" s="4">
        <v>5625.0</v>
      </c>
      <c r="I23" s="4">
        <v>315.0</v>
      </c>
      <c r="J23" s="4">
        <v>360.0</v>
      </c>
      <c r="K23" s="4">
        <v>1.0</v>
      </c>
      <c r="L23" s="4" t="s">
        <v>17</v>
      </c>
      <c r="M23" s="4" t="s">
        <v>18</v>
      </c>
      <c r="N23" s="3"/>
      <c r="O23" s="3"/>
      <c r="P23" s="7" t="s">
        <v>64</v>
      </c>
      <c r="Q23" s="8">
        <f>COUNTIF(B:B,"male")</f>
        <v>502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65</v>
      </c>
      <c r="B24" s="4" t="s">
        <v>14</v>
      </c>
      <c r="C24" s="4" t="s">
        <v>20</v>
      </c>
      <c r="D24" s="5">
        <v>0.0</v>
      </c>
      <c r="E24" s="4" t="s">
        <v>25</v>
      </c>
      <c r="F24" s="4" t="s">
        <v>15</v>
      </c>
      <c r="G24" s="4">
        <v>2600.0</v>
      </c>
      <c r="H24" s="4">
        <v>1911.0</v>
      </c>
      <c r="I24" s="4">
        <v>116.0</v>
      </c>
      <c r="J24" s="4">
        <v>360.0</v>
      </c>
      <c r="K24" s="4">
        <v>0.0</v>
      </c>
      <c r="L24" s="4" t="s">
        <v>33</v>
      </c>
      <c r="M24" s="4" t="s">
        <v>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66</v>
      </c>
      <c r="B25" s="4" t="s">
        <v>14</v>
      </c>
      <c r="C25" s="4" t="s">
        <v>20</v>
      </c>
      <c r="D25" s="5">
        <v>2.0</v>
      </c>
      <c r="E25" s="4" t="s">
        <v>25</v>
      </c>
      <c r="F25" s="4" t="s">
        <v>15</v>
      </c>
      <c r="G25" s="4">
        <v>3365.0</v>
      </c>
      <c r="H25" s="4">
        <v>1917.0</v>
      </c>
      <c r="I25" s="4">
        <v>112.0</v>
      </c>
      <c r="J25" s="4">
        <v>360.0</v>
      </c>
      <c r="K25" s="4">
        <v>0.0</v>
      </c>
      <c r="L25" s="4" t="s">
        <v>21</v>
      </c>
      <c r="M25" s="4" t="s">
        <v>22</v>
      </c>
      <c r="N25" s="3"/>
      <c r="O25" s="3"/>
      <c r="P25" s="7" t="s">
        <v>67</v>
      </c>
      <c r="Q25" s="8">
        <f>COUNTIF(F:F,"yes")</f>
        <v>82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68</v>
      </c>
      <c r="B26" s="4" t="s">
        <v>14</v>
      </c>
      <c r="C26" s="4" t="s">
        <v>20</v>
      </c>
      <c r="D26" s="5">
        <v>1.0</v>
      </c>
      <c r="E26" s="4" t="s">
        <v>16</v>
      </c>
      <c r="F26" s="4" t="s">
        <v>15</v>
      </c>
      <c r="G26" s="4">
        <v>3717.0</v>
      </c>
      <c r="H26" s="4">
        <v>2925.0</v>
      </c>
      <c r="I26" s="4">
        <v>151.0</v>
      </c>
      <c r="J26" s="4">
        <v>360.0</v>
      </c>
      <c r="K26" s="4">
        <v>1.0</v>
      </c>
      <c r="L26" s="4" t="s">
        <v>33</v>
      </c>
      <c r="M26" s="4" t="s">
        <v>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69</v>
      </c>
      <c r="B27" s="4" t="s">
        <v>14</v>
      </c>
      <c r="C27" s="4" t="s">
        <v>20</v>
      </c>
      <c r="D27" s="5">
        <v>0.0</v>
      </c>
      <c r="E27" s="4" t="s">
        <v>16</v>
      </c>
      <c r="F27" s="4" t="s">
        <v>20</v>
      </c>
      <c r="G27" s="4">
        <v>9560.0</v>
      </c>
      <c r="H27" s="4">
        <v>0.0</v>
      </c>
      <c r="I27" s="4">
        <v>191.0</v>
      </c>
      <c r="J27" s="4">
        <v>360.0</v>
      </c>
      <c r="K27" s="4">
        <v>1.0</v>
      </c>
      <c r="L27" s="4" t="s">
        <v>33</v>
      </c>
      <c r="M27" s="4" t="s">
        <v>18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70</v>
      </c>
      <c r="B28" s="4" t="s">
        <v>14</v>
      </c>
      <c r="C28" s="4" t="s">
        <v>20</v>
      </c>
      <c r="D28" s="5">
        <v>0.0</v>
      </c>
      <c r="E28" s="4" t="s">
        <v>16</v>
      </c>
      <c r="F28" s="4" t="s">
        <v>15</v>
      </c>
      <c r="G28" s="4">
        <v>2799.0</v>
      </c>
      <c r="H28" s="4">
        <v>2253.0</v>
      </c>
      <c r="I28" s="4">
        <v>122.0</v>
      </c>
      <c r="J28" s="4">
        <v>360.0</v>
      </c>
      <c r="K28" s="4">
        <v>1.0</v>
      </c>
      <c r="L28" s="4" t="s">
        <v>33</v>
      </c>
      <c r="M28" s="4" t="s">
        <v>18</v>
      </c>
      <c r="N28" s="3"/>
      <c r="O28" s="7" t="s">
        <v>13</v>
      </c>
      <c r="P28" s="8">
        <f>VLOOKUP(O28,A:K,7,FALSE)</f>
        <v>5849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71</v>
      </c>
      <c r="B29" s="4" t="s">
        <v>14</v>
      </c>
      <c r="C29" s="4" t="s">
        <v>20</v>
      </c>
      <c r="D29" s="5">
        <v>2.0</v>
      </c>
      <c r="E29" s="4" t="s">
        <v>25</v>
      </c>
      <c r="F29" s="4" t="s">
        <v>15</v>
      </c>
      <c r="G29" s="4">
        <v>4226.0</v>
      </c>
      <c r="H29" s="4">
        <v>1040.0</v>
      </c>
      <c r="I29" s="4">
        <v>110.0</v>
      </c>
      <c r="J29" s="4">
        <v>360.0</v>
      </c>
      <c r="K29" s="4">
        <v>1.0</v>
      </c>
      <c r="L29" s="4" t="s">
        <v>17</v>
      </c>
      <c r="M29" s="4" t="s">
        <v>18</v>
      </c>
      <c r="N29" s="3"/>
      <c r="O29" s="18" t="s">
        <v>13</v>
      </c>
      <c r="P29" s="19" t="str">
        <f t="array" ref="P29:U29">XLOOKUP(O29,A:A,B:G)</f>
        <v>Male</v>
      </c>
      <c r="Q29" s="19" t="s">
        <v>15</v>
      </c>
      <c r="R29" s="19">
        <v>0.0</v>
      </c>
      <c r="S29" s="19" t="s">
        <v>16</v>
      </c>
      <c r="T29" s="19" t="s">
        <v>15</v>
      </c>
      <c r="U29" s="20">
        <v>5849.0</v>
      </c>
      <c r="V29" s="3"/>
      <c r="W29" s="3"/>
      <c r="X29" s="3"/>
      <c r="Y29" s="3"/>
      <c r="Z29" s="3"/>
    </row>
    <row r="30">
      <c r="A30" s="4" t="s">
        <v>72</v>
      </c>
      <c r="B30" s="4" t="s">
        <v>14</v>
      </c>
      <c r="C30" s="4" t="s">
        <v>15</v>
      </c>
      <c r="D30" s="5">
        <v>0.0</v>
      </c>
      <c r="E30" s="4" t="s">
        <v>25</v>
      </c>
      <c r="F30" s="4" t="s">
        <v>15</v>
      </c>
      <c r="G30" s="4">
        <v>1442.0</v>
      </c>
      <c r="H30" s="4">
        <v>0.0</v>
      </c>
      <c r="I30" s="4">
        <v>35.0</v>
      </c>
      <c r="J30" s="4">
        <v>360.0</v>
      </c>
      <c r="K30" s="4">
        <v>1.0</v>
      </c>
      <c r="L30" s="4" t="s">
        <v>17</v>
      </c>
      <c r="M30" s="4" t="s">
        <v>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73</v>
      </c>
      <c r="B31" s="4" t="s">
        <v>54</v>
      </c>
      <c r="C31" s="4" t="s">
        <v>15</v>
      </c>
      <c r="D31" s="5">
        <v>2.0</v>
      </c>
      <c r="E31" s="4" t="s">
        <v>16</v>
      </c>
      <c r="F31" s="4" t="s">
        <v>15</v>
      </c>
      <c r="G31" s="4">
        <v>3750.0</v>
      </c>
      <c r="H31" s="4">
        <v>2083.0</v>
      </c>
      <c r="I31" s="4">
        <v>120.0</v>
      </c>
      <c r="J31" s="4">
        <v>360.0</v>
      </c>
      <c r="K31" s="4">
        <v>1.0</v>
      </c>
      <c r="L31" s="4" t="s">
        <v>33</v>
      </c>
      <c r="M31" s="4" t="s">
        <v>18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74</v>
      </c>
      <c r="B32" s="4" t="s">
        <v>14</v>
      </c>
      <c r="C32" s="4" t="s">
        <v>20</v>
      </c>
      <c r="D32" s="5">
        <v>1.0</v>
      </c>
      <c r="E32" s="4" t="s">
        <v>16</v>
      </c>
      <c r="F32" s="4" t="s">
        <v>15</v>
      </c>
      <c r="G32" s="4">
        <v>4166.0</v>
      </c>
      <c r="H32" s="4">
        <v>3369.0</v>
      </c>
      <c r="I32" s="4">
        <v>201.0</v>
      </c>
      <c r="J32" s="4">
        <v>360.0</v>
      </c>
      <c r="K32" s="4">
        <v>1.0</v>
      </c>
      <c r="L32" s="4" t="s">
        <v>17</v>
      </c>
      <c r="M32" s="4" t="s">
        <v>22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75</v>
      </c>
      <c r="B33" s="4" t="s">
        <v>14</v>
      </c>
      <c r="C33" s="4" t="s">
        <v>15</v>
      </c>
      <c r="D33" s="5">
        <v>0.0</v>
      </c>
      <c r="E33" s="4" t="s">
        <v>16</v>
      </c>
      <c r="F33" s="4" t="s">
        <v>15</v>
      </c>
      <c r="G33" s="4">
        <v>3167.0</v>
      </c>
      <c r="H33" s="4">
        <v>0.0</v>
      </c>
      <c r="I33" s="4">
        <v>74.0</v>
      </c>
      <c r="J33" s="4">
        <v>360.0</v>
      </c>
      <c r="K33" s="4">
        <v>1.0</v>
      </c>
      <c r="L33" s="4" t="s">
        <v>17</v>
      </c>
      <c r="M33" s="4" t="s">
        <v>22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76</v>
      </c>
      <c r="B34" s="4" t="s">
        <v>14</v>
      </c>
      <c r="C34" s="4" t="s">
        <v>15</v>
      </c>
      <c r="D34" s="5">
        <v>1.0</v>
      </c>
      <c r="E34" s="4" t="s">
        <v>16</v>
      </c>
      <c r="F34" s="4" t="s">
        <v>20</v>
      </c>
      <c r="G34" s="4">
        <v>4692.0</v>
      </c>
      <c r="H34" s="4">
        <v>0.0</v>
      </c>
      <c r="I34" s="4">
        <v>106.0</v>
      </c>
      <c r="J34" s="4">
        <v>360.0</v>
      </c>
      <c r="K34" s="4">
        <v>1.0</v>
      </c>
      <c r="L34" s="4" t="s">
        <v>21</v>
      </c>
      <c r="M34" s="4" t="s">
        <v>22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77</v>
      </c>
      <c r="B35" s="4" t="s">
        <v>14</v>
      </c>
      <c r="C35" s="4" t="s">
        <v>20</v>
      </c>
      <c r="D35" s="5">
        <v>0.0</v>
      </c>
      <c r="E35" s="4" t="s">
        <v>16</v>
      </c>
      <c r="F35" s="4" t="s">
        <v>15</v>
      </c>
      <c r="G35" s="4">
        <v>3500.0</v>
      </c>
      <c r="H35" s="4">
        <v>1667.0</v>
      </c>
      <c r="I35" s="4">
        <v>114.0</v>
      </c>
      <c r="J35" s="4">
        <v>360.0</v>
      </c>
      <c r="K35" s="4">
        <v>1.0</v>
      </c>
      <c r="L35" s="4" t="s">
        <v>33</v>
      </c>
      <c r="M35" s="4" t="s">
        <v>18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78</v>
      </c>
      <c r="B36" s="4" t="s">
        <v>14</v>
      </c>
      <c r="C36" s="4" t="s">
        <v>15</v>
      </c>
      <c r="D36" s="5" t="s">
        <v>32</v>
      </c>
      <c r="E36" s="4" t="s">
        <v>16</v>
      </c>
      <c r="F36" s="4" t="s">
        <v>15</v>
      </c>
      <c r="G36" s="4">
        <v>12500.0</v>
      </c>
      <c r="H36" s="4">
        <v>3000.0</v>
      </c>
      <c r="I36" s="4">
        <v>320.0</v>
      </c>
      <c r="J36" s="4">
        <v>360.0</v>
      </c>
      <c r="K36" s="4">
        <v>1.0</v>
      </c>
      <c r="L36" s="4" t="s">
        <v>21</v>
      </c>
      <c r="M36" s="4" t="s">
        <v>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79</v>
      </c>
      <c r="B37" s="4" t="s">
        <v>14</v>
      </c>
      <c r="C37" s="4" t="s">
        <v>20</v>
      </c>
      <c r="D37" s="5">
        <v>0.0</v>
      </c>
      <c r="E37" s="4" t="s">
        <v>16</v>
      </c>
      <c r="F37" s="4" t="s">
        <v>15</v>
      </c>
      <c r="G37" s="4">
        <v>2275.0</v>
      </c>
      <c r="H37" s="4">
        <v>2067.0</v>
      </c>
      <c r="I37" s="4">
        <v>128.0</v>
      </c>
      <c r="J37" s="4">
        <v>360.0</v>
      </c>
      <c r="K37" s="4">
        <v>1.0</v>
      </c>
      <c r="L37" s="4" t="s">
        <v>17</v>
      </c>
      <c r="M37" s="4" t="s">
        <v>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80</v>
      </c>
      <c r="B38" s="4" t="s">
        <v>14</v>
      </c>
      <c r="C38" s="4" t="s">
        <v>20</v>
      </c>
      <c r="D38" s="5">
        <v>0.0</v>
      </c>
      <c r="E38" s="4" t="s">
        <v>16</v>
      </c>
      <c r="F38" s="4" t="s">
        <v>15</v>
      </c>
      <c r="G38" s="4">
        <v>1828.0</v>
      </c>
      <c r="H38" s="4">
        <v>1330.0</v>
      </c>
      <c r="I38" s="4">
        <v>100.0</v>
      </c>
      <c r="J38" s="4">
        <v>360.0</v>
      </c>
      <c r="K38" s="4">
        <v>0.0</v>
      </c>
      <c r="L38" s="4" t="s">
        <v>17</v>
      </c>
      <c r="M38" s="4" t="s">
        <v>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81</v>
      </c>
      <c r="B39" s="4" t="s">
        <v>54</v>
      </c>
      <c r="C39" s="4" t="s">
        <v>20</v>
      </c>
      <c r="D39" s="5">
        <v>0.0</v>
      </c>
      <c r="E39" s="4" t="s">
        <v>16</v>
      </c>
      <c r="F39" s="4" t="s">
        <v>15</v>
      </c>
      <c r="G39" s="4">
        <v>3667.0</v>
      </c>
      <c r="H39" s="4">
        <v>1459.0</v>
      </c>
      <c r="I39" s="4">
        <v>144.0</v>
      </c>
      <c r="J39" s="4">
        <v>360.0</v>
      </c>
      <c r="K39" s="4">
        <v>1.0</v>
      </c>
      <c r="L39" s="4" t="s">
        <v>33</v>
      </c>
      <c r="M39" s="4" t="s">
        <v>18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82</v>
      </c>
      <c r="B40" s="4" t="s">
        <v>14</v>
      </c>
      <c r="C40" s="4" t="s">
        <v>15</v>
      </c>
      <c r="D40" s="5">
        <v>0.0</v>
      </c>
      <c r="E40" s="4" t="s">
        <v>16</v>
      </c>
      <c r="F40" s="4" t="s">
        <v>15</v>
      </c>
      <c r="G40" s="4">
        <v>4166.0</v>
      </c>
      <c r="H40" s="4">
        <v>7210.0</v>
      </c>
      <c r="I40" s="4">
        <v>184.0</v>
      </c>
      <c r="J40" s="4">
        <v>360.0</v>
      </c>
      <c r="K40" s="4">
        <v>1.0</v>
      </c>
      <c r="L40" s="4" t="s">
        <v>17</v>
      </c>
      <c r="M40" s="4" t="s">
        <v>18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83</v>
      </c>
      <c r="B41" s="4" t="s">
        <v>14</v>
      </c>
      <c r="C41" s="4" t="s">
        <v>15</v>
      </c>
      <c r="D41" s="5">
        <v>0.0</v>
      </c>
      <c r="E41" s="4" t="s">
        <v>25</v>
      </c>
      <c r="F41" s="4" t="s">
        <v>15</v>
      </c>
      <c r="G41" s="4">
        <v>3748.0</v>
      </c>
      <c r="H41" s="4">
        <v>1668.0</v>
      </c>
      <c r="I41" s="4">
        <v>110.0</v>
      </c>
      <c r="J41" s="4">
        <v>360.0</v>
      </c>
      <c r="K41" s="4">
        <v>1.0</v>
      </c>
      <c r="L41" s="4" t="s">
        <v>33</v>
      </c>
      <c r="M41" s="4" t="s">
        <v>18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84</v>
      </c>
      <c r="B42" s="4" t="s">
        <v>14</v>
      </c>
      <c r="C42" s="4" t="s">
        <v>15</v>
      </c>
      <c r="D42" s="5">
        <v>0.0</v>
      </c>
      <c r="E42" s="4" t="s">
        <v>16</v>
      </c>
      <c r="F42" s="4" t="s">
        <v>15</v>
      </c>
      <c r="G42" s="4">
        <v>3600.0</v>
      </c>
      <c r="H42" s="4">
        <v>0.0</v>
      </c>
      <c r="I42" s="4">
        <v>80.0</v>
      </c>
      <c r="J42" s="4">
        <v>360.0</v>
      </c>
      <c r="K42" s="4">
        <v>1.0</v>
      </c>
      <c r="L42" s="4" t="s">
        <v>17</v>
      </c>
      <c r="M42" s="4" t="s">
        <v>22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85</v>
      </c>
      <c r="B43" s="4" t="s">
        <v>14</v>
      </c>
      <c r="C43" s="4" t="s">
        <v>15</v>
      </c>
      <c r="D43" s="5">
        <v>0.0</v>
      </c>
      <c r="E43" s="4" t="s">
        <v>16</v>
      </c>
      <c r="F43" s="4" t="s">
        <v>15</v>
      </c>
      <c r="G43" s="4">
        <v>1800.0</v>
      </c>
      <c r="H43" s="4">
        <v>1213.0</v>
      </c>
      <c r="I43" s="4">
        <v>47.0</v>
      </c>
      <c r="J43" s="4">
        <v>360.0</v>
      </c>
      <c r="K43" s="4">
        <v>1.0</v>
      </c>
      <c r="L43" s="4" t="s">
        <v>17</v>
      </c>
      <c r="M43" s="4" t="s">
        <v>18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86</v>
      </c>
      <c r="B44" s="4" t="s">
        <v>14</v>
      </c>
      <c r="C44" s="4" t="s">
        <v>20</v>
      </c>
      <c r="D44" s="5">
        <v>0.0</v>
      </c>
      <c r="E44" s="4" t="s">
        <v>16</v>
      </c>
      <c r="F44" s="4" t="s">
        <v>15</v>
      </c>
      <c r="G44" s="4">
        <v>2400.0</v>
      </c>
      <c r="H44" s="4">
        <v>0.0</v>
      </c>
      <c r="I44" s="4">
        <v>75.0</v>
      </c>
      <c r="J44" s="4">
        <v>360.0</v>
      </c>
      <c r="K44" s="4">
        <v>1.0</v>
      </c>
      <c r="L44" s="4" t="s">
        <v>17</v>
      </c>
      <c r="M44" s="4" t="s">
        <v>18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87</v>
      </c>
      <c r="B45" s="4" t="s">
        <v>14</v>
      </c>
      <c r="C45" s="4" t="s">
        <v>20</v>
      </c>
      <c r="D45" s="5">
        <v>0.0</v>
      </c>
      <c r="E45" s="4" t="s">
        <v>16</v>
      </c>
      <c r="F45" s="4" t="s">
        <v>15</v>
      </c>
      <c r="G45" s="4">
        <v>3941.0</v>
      </c>
      <c r="H45" s="4">
        <v>2336.0</v>
      </c>
      <c r="I45" s="4">
        <v>134.0</v>
      </c>
      <c r="J45" s="4">
        <v>360.0</v>
      </c>
      <c r="K45" s="4">
        <v>1.0</v>
      </c>
      <c r="L45" s="4" t="s">
        <v>33</v>
      </c>
      <c r="M45" s="4" t="s">
        <v>18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88</v>
      </c>
      <c r="B46" s="4" t="s">
        <v>14</v>
      </c>
      <c r="C46" s="4" t="s">
        <v>20</v>
      </c>
      <c r="D46" s="5">
        <v>0.0</v>
      </c>
      <c r="E46" s="4" t="s">
        <v>25</v>
      </c>
      <c r="F46" s="4" t="s">
        <v>20</v>
      </c>
      <c r="G46" s="4">
        <v>4695.0</v>
      </c>
      <c r="H46" s="4">
        <v>0.0</v>
      </c>
      <c r="I46" s="4">
        <v>96.0</v>
      </c>
      <c r="J46" s="4">
        <v>360.0</v>
      </c>
      <c r="K46" s="4">
        <v>1.0</v>
      </c>
      <c r="L46" s="4" t="s">
        <v>17</v>
      </c>
      <c r="M46" s="4" t="s">
        <v>18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89</v>
      </c>
      <c r="B47" s="4" t="s">
        <v>54</v>
      </c>
      <c r="C47" s="4" t="s">
        <v>15</v>
      </c>
      <c r="D47" s="5">
        <v>0.0</v>
      </c>
      <c r="E47" s="4" t="s">
        <v>16</v>
      </c>
      <c r="F47" s="4" t="s">
        <v>15</v>
      </c>
      <c r="G47" s="4">
        <v>3410.0</v>
      </c>
      <c r="H47" s="4">
        <v>0.0</v>
      </c>
      <c r="I47" s="4">
        <v>88.0</v>
      </c>
      <c r="J47" s="4">
        <v>360.0</v>
      </c>
      <c r="K47" s="4">
        <v>1.0</v>
      </c>
      <c r="L47" s="4" t="s">
        <v>17</v>
      </c>
      <c r="M47" s="4" t="s">
        <v>18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90</v>
      </c>
      <c r="B48" s="4" t="s">
        <v>14</v>
      </c>
      <c r="C48" s="4" t="s">
        <v>20</v>
      </c>
      <c r="D48" s="5">
        <v>1.0</v>
      </c>
      <c r="E48" s="4" t="s">
        <v>16</v>
      </c>
      <c r="F48" s="4" t="s">
        <v>15</v>
      </c>
      <c r="G48" s="4">
        <v>5649.0</v>
      </c>
      <c r="H48" s="4">
        <v>0.0</v>
      </c>
      <c r="I48" s="4">
        <v>44.0</v>
      </c>
      <c r="J48" s="4">
        <v>360.0</v>
      </c>
      <c r="K48" s="4">
        <v>1.0</v>
      </c>
      <c r="L48" s="4" t="s">
        <v>17</v>
      </c>
      <c r="M48" s="4" t="s">
        <v>18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91</v>
      </c>
      <c r="B49" s="4" t="s">
        <v>14</v>
      </c>
      <c r="C49" s="4" t="s">
        <v>20</v>
      </c>
      <c r="D49" s="5">
        <v>0.0</v>
      </c>
      <c r="E49" s="4" t="s">
        <v>16</v>
      </c>
      <c r="F49" s="4" t="s">
        <v>15</v>
      </c>
      <c r="G49" s="4">
        <v>5821.0</v>
      </c>
      <c r="H49" s="4">
        <v>0.0</v>
      </c>
      <c r="I49" s="4">
        <v>144.0</v>
      </c>
      <c r="J49" s="4">
        <v>360.0</v>
      </c>
      <c r="K49" s="4">
        <v>1.0</v>
      </c>
      <c r="L49" s="4" t="s">
        <v>17</v>
      </c>
      <c r="M49" s="4" t="s">
        <v>18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92</v>
      </c>
      <c r="B50" s="4" t="s">
        <v>54</v>
      </c>
      <c r="C50" s="4" t="s">
        <v>20</v>
      </c>
      <c r="D50" s="5">
        <v>0.0</v>
      </c>
      <c r="E50" s="4" t="s">
        <v>16</v>
      </c>
      <c r="F50" s="4" t="s">
        <v>15</v>
      </c>
      <c r="G50" s="4">
        <v>2645.0</v>
      </c>
      <c r="H50" s="4">
        <v>3440.0</v>
      </c>
      <c r="I50" s="4">
        <v>120.0</v>
      </c>
      <c r="J50" s="4">
        <v>360.0</v>
      </c>
      <c r="K50" s="4">
        <v>0.0</v>
      </c>
      <c r="L50" s="4" t="s">
        <v>17</v>
      </c>
      <c r="M50" s="4" t="s">
        <v>22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93</v>
      </c>
      <c r="B51" s="4" t="s">
        <v>54</v>
      </c>
      <c r="C51" s="4" t="s">
        <v>15</v>
      </c>
      <c r="D51" s="5">
        <v>0.0</v>
      </c>
      <c r="E51" s="4" t="s">
        <v>16</v>
      </c>
      <c r="F51" s="4" t="s">
        <v>15</v>
      </c>
      <c r="G51" s="4">
        <v>4000.0</v>
      </c>
      <c r="H51" s="4">
        <v>2275.0</v>
      </c>
      <c r="I51" s="4">
        <v>144.0</v>
      </c>
      <c r="J51" s="4">
        <v>360.0</v>
      </c>
      <c r="K51" s="4">
        <v>1.0</v>
      </c>
      <c r="L51" s="4" t="s">
        <v>33</v>
      </c>
      <c r="M51" s="4" t="s">
        <v>18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94</v>
      </c>
      <c r="B52" s="4" t="s">
        <v>54</v>
      </c>
      <c r="C52" s="4" t="s">
        <v>20</v>
      </c>
      <c r="D52" s="5">
        <v>0.0</v>
      </c>
      <c r="E52" s="4" t="s">
        <v>25</v>
      </c>
      <c r="F52" s="4" t="s">
        <v>15</v>
      </c>
      <c r="G52" s="4">
        <v>1928.0</v>
      </c>
      <c r="H52" s="4">
        <v>1644.0</v>
      </c>
      <c r="I52" s="4">
        <v>100.0</v>
      </c>
      <c r="J52" s="4">
        <v>360.0</v>
      </c>
      <c r="K52" s="4">
        <v>1.0</v>
      </c>
      <c r="L52" s="4" t="s">
        <v>33</v>
      </c>
      <c r="M52" s="4" t="s">
        <v>18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95</v>
      </c>
      <c r="B53" s="4" t="s">
        <v>54</v>
      </c>
      <c r="C53" s="4" t="s">
        <v>15</v>
      </c>
      <c r="D53" s="5">
        <v>0.0</v>
      </c>
      <c r="E53" s="4" t="s">
        <v>16</v>
      </c>
      <c r="F53" s="4" t="s">
        <v>15</v>
      </c>
      <c r="G53" s="4">
        <v>3086.0</v>
      </c>
      <c r="H53" s="4">
        <v>0.0</v>
      </c>
      <c r="I53" s="4">
        <v>120.0</v>
      </c>
      <c r="J53" s="4">
        <v>360.0</v>
      </c>
      <c r="K53" s="4">
        <v>1.0</v>
      </c>
      <c r="L53" s="4" t="s">
        <v>33</v>
      </c>
      <c r="M53" s="4" t="s">
        <v>18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96</v>
      </c>
      <c r="B54" s="4" t="s">
        <v>54</v>
      </c>
      <c r="C54" s="4" t="s">
        <v>15</v>
      </c>
      <c r="D54" s="5">
        <v>0.0</v>
      </c>
      <c r="E54" s="4" t="s">
        <v>16</v>
      </c>
      <c r="F54" s="4" t="s">
        <v>15</v>
      </c>
      <c r="G54" s="4">
        <v>4230.0</v>
      </c>
      <c r="H54" s="4">
        <v>0.0</v>
      </c>
      <c r="I54" s="4">
        <v>112.0</v>
      </c>
      <c r="J54" s="4">
        <v>360.0</v>
      </c>
      <c r="K54" s="4">
        <v>1.0</v>
      </c>
      <c r="L54" s="4" t="s">
        <v>33</v>
      </c>
      <c r="M54" s="4" t="s">
        <v>22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97</v>
      </c>
      <c r="B55" s="4" t="s">
        <v>14</v>
      </c>
      <c r="C55" s="4" t="s">
        <v>20</v>
      </c>
      <c r="D55" s="5">
        <v>2.0</v>
      </c>
      <c r="E55" s="4" t="s">
        <v>16</v>
      </c>
      <c r="F55" s="4" t="s">
        <v>15</v>
      </c>
      <c r="G55" s="4">
        <v>4616.0</v>
      </c>
      <c r="H55" s="4">
        <v>0.0</v>
      </c>
      <c r="I55" s="4">
        <v>134.0</v>
      </c>
      <c r="J55" s="4">
        <v>360.0</v>
      </c>
      <c r="K55" s="4">
        <v>1.0</v>
      </c>
      <c r="L55" s="4" t="s">
        <v>17</v>
      </c>
      <c r="M55" s="4" t="s">
        <v>22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98</v>
      </c>
      <c r="B56" s="4" t="s">
        <v>54</v>
      </c>
      <c r="C56" s="4" t="s">
        <v>20</v>
      </c>
      <c r="D56" s="5">
        <v>1.0</v>
      </c>
      <c r="E56" s="4" t="s">
        <v>16</v>
      </c>
      <c r="F56" s="4" t="s">
        <v>20</v>
      </c>
      <c r="G56" s="4">
        <v>11500.0</v>
      </c>
      <c r="H56" s="4">
        <v>0.0</v>
      </c>
      <c r="I56" s="4">
        <v>286.0</v>
      </c>
      <c r="J56" s="4">
        <v>360.0</v>
      </c>
      <c r="K56" s="4">
        <v>0.0</v>
      </c>
      <c r="L56" s="4" t="s">
        <v>17</v>
      </c>
      <c r="M56" s="4" t="s">
        <v>22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99</v>
      </c>
      <c r="B57" s="4" t="s">
        <v>14</v>
      </c>
      <c r="C57" s="4" t="s">
        <v>20</v>
      </c>
      <c r="D57" s="5">
        <v>2.0</v>
      </c>
      <c r="E57" s="4" t="s">
        <v>16</v>
      </c>
      <c r="F57" s="4" t="s">
        <v>15</v>
      </c>
      <c r="G57" s="4">
        <v>2708.0</v>
      </c>
      <c r="H57" s="4">
        <v>1167.0</v>
      </c>
      <c r="I57" s="4">
        <v>97.0</v>
      </c>
      <c r="J57" s="4">
        <v>360.0</v>
      </c>
      <c r="K57" s="4">
        <v>1.0</v>
      </c>
      <c r="L57" s="4" t="s">
        <v>33</v>
      </c>
      <c r="M57" s="4" t="s">
        <v>18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100</v>
      </c>
      <c r="B58" s="4" t="s">
        <v>14</v>
      </c>
      <c r="C58" s="4" t="s">
        <v>20</v>
      </c>
      <c r="D58" s="5">
        <v>0.0</v>
      </c>
      <c r="E58" s="4" t="s">
        <v>16</v>
      </c>
      <c r="F58" s="4" t="s">
        <v>15</v>
      </c>
      <c r="G58" s="4">
        <v>2132.0</v>
      </c>
      <c r="H58" s="4">
        <v>1591.0</v>
      </c>
      <c r="I58" s="4">
        <v>96.0</v>
      </c>
      <c r="J58" s="4">
        <v>360.0</v>
      </c>
      <c r="K58" s="4">
        <v>1.0</v>
      </c>
      <c r="L58" s="4" t="s">
        <v>33</v>
      </c>
      <c r="M58" s="4" t="s">
        <v>18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101</v>
      </c>
      <c r="B59" s="4" t="s">
        <v>14</v>
      </c>
      <c r="C59" s="4" t="s">
        <v>20</v>
      </c>
      <c r="D59" s="5">
        <v>0.0</v>
      </c>
      <c r="E59" s="4" t="s">
        <v>16</v>
      </c>
      <c r="F59" s="4" t="s">
        <v>15</v>
      </c>
      <c r="G59" s="4">
        <v>3366.0</v>
      </c>
      <c r="H59" s="4">
        <v>2200.0</v>
      </c>
      <c r="I59" s="4">
        <v>135.0</v>
      </c>
      <c r="J59" s="4">
        <v>360.0</v>
      </c>
      <c r="K59" s="4">
        <v>1.0</v>
      </c>
      <c r="L59" s="4" t="s">
        <v>21</v>
      </c>
      <c r="M59" s="4" t="s">
        <v>22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102</v>
      </c>
      <c r="B60" s="4" t="s">
        <v>14</v>
      </c>
      <c r="C60" s="4" t="s">
        <v>20</v>
      </c>
      <c r="D60" s="5">
        <v>1.0</v>
      </c>
      <c r="E60" s="4" t="s">
        <v>16</v>
      </c>
      <c r="F60" s="4" t="s">
        <v>15</v>
      </c>
      <c r="G60" s="4">
        <v>8080.0</v>
      </c>
      <c r="H60" s="4">
        <v>2250.0</v>
      </c>
      <c r="I60" s="4">
        <v>180.0</v>
      </c>
      <c r="J60" s="4">
        <v>360.0</v>
      </c>
      <c r="K60" s="4">
        <v>1.0</v>
      </c>
      <c r="L60" s="4" t="s">
        <v>17</v>
      </c>
      <c r="M60" s="4" t="s">
        <v>18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103</v>
      </c>
      <c r="B61" s="4" t="s">
        <v>14</v>
      </c>
      <c r="C61" s="4" t="s">
        <v>20</v>
      </c>
      <c r="D61" s="5">
        <v>2.0</v>
      </c>
      <c r="E61" s="4" t="s">
        <v>25</v>
      </c>
      <c r="F61" s="4" t="s">
        <v>15</v>
      </c>
      <c r="G61" s="4">
        <v>3357.0</v>
      </c>
      <c r="H61" s="4">
        <v>2859.0</v>
      </c>
      <c r="I61" s="4">
        <v>144.0</v>
      </c>
      <c r="J61" s="4">
        <v>360.0</v>
      </c>
      <c r="K61" s="4">
        <v>1.0</v>
      </c>
      <c r="L61" s="4" t="s">
        <v>17</v>
      </c>
      <c r="M61" s="4" t="s">
        <v>18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104</v>
      </c>
      <c r="B62" s="4" t="s">
        <v>14</v>
      </c>
      <c r="C62" s="4" t="s">
        <v>20</v>
      </c>
      <c r="D62" s="5">
        <v>0.0</v>
      </c>
      <c r="E62" s="4" t="s">
        <v>16</v>
      </c>
      <c r="F62" s="4" t="s">
        <v>15</v>
      </c>
      <c r="G62" s="4">
        <v>2500.0</v>
      </c>
      <c r="H62" s="4">
        <v>3796.0</v>
      </c>
      <c r="I62" s="4">
        <v>120.0</v>
      </c>
      <c r="J62" s="4">
        <v>360.0</v>
      </c>
      <c r="K62" s="4">
        <v>1.0</v>
      </c>
      <c r="L62" s="4" t="s">
        <v>17</v>
      </c>
      <c r="M62" s="4" t="s">
        <v>18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105</v>
      </c>
      <c r="B63" s="4" t="s">
        <v>14</v>
      </c>
      <c r="C63" s="4" t="s">
        <v>20</v>
      </c>
      <c r="D63" s="5" t="s">
        <v>32</v>
      </c>
      <c r="E63" s="4" t="s">
        <v>16</v>
      </c>
      <c r="F63" s="4" t="s">
        <v>15</v>
      </c>
      <c r="G63" s="4">
        <v>3029.0</v>
      </c>
      <c r="H63" s="4">
        <v>0.0</v>
      </c>
      <c r="I63" s="4">
        <v>99.0</v>
      </c>
      <c r="J63" s="4">
        <v>360.0</v>
      </c>
      <c r="K63" s="4">
        <v>1.0</v>
      </c>
      <c r="L63" s="4" t="s">
        <v>17</v>
      </c>
      <c r="M63" s="4" t="s">
        <v>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106</v>
      </c>
      <c r="B64" s="4" t="s">
        <v>14</v>
      </c>
      <c r="C64" s="4" t="s">
        <v>20</v>
      </c>
      <c r="D64" s="5">
        <v>0.0</v>
      </c>
      <c r="E64" s="4" t="s">
        <v>25</v>
      </c>
      <c r="F64" s="4" t="s">
        <v>20</v>
      </c>
      <c r="G64" s="4">
        <v>2609.0</v>
      </c>
      <c r="H64" s="4">
        <v>3449.0</v>
      </c>
      <c r="I64" s="4">
        <v>165.0</v>
      </c>
      <c r="J64" s="4">
        <v>180.0</v>
      </c>
      <c r="K64" s="4">
        <v>0.0</v>
      </c>
      <c r="L64" s="4" t="s">
        <v>21</v>
      </c>
      <c r="M64" s="4" t="s">
        <v>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107</v>
      </c>
      <c r="B65" s="4" t="s">
        <v>14</v>
      </c>
      <c r="C65" s="4" t="s">
        <v>20</v>
      </c>
      <c r="D65" s="5">
        <v>1.0</v>
      </c>
      <c r="E65" s="4" t="s">
        <v>16</v>
      </c>
      <c r="F65" s="4" t="s">
        <v>15</v>
      </c>
      <c r="G65" s="4">
        <v>4945.0</v>
      </c>
      <c r="H65" s="4">
        <v>0.0</v>
      </c>
      <c r="I65" s="4">
        <v>128.0</v>
      </c>
      <c r="J65" s="4">
        <v>360.0</v>
      </c>
      <c r="K65" s="4">
        <v>0.0</v>
      </c>
      <c r="L65" s="4" t="s">
        <v>21</v>
      </c>
      <c r="M65" s="4" t="s">
        <v>22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108</v>
      </c>
      <c r="B66" s="4" t="s">
        <v>54</v>
      </c>
      <c r="C66" s="4" t="s">
        <v>15</v>
      </c>
      <c r="D66" s="5">
        <v>0.0</v>
      </c>
      <c r="E66" s="4" t="s">
        <v>16</v>
      </c>
      <c r="F66" s="4" t="s">
        <v>15</v>
      </c>
      <c r="G66" s="4">
        <v>4166.0</v>
      </c>
      <c r="H66" s="4">
        <v>0.0</v>
      </c>
      <c r="I66" s="4">
        <v>116.0</v>
      </c>
      <c r="J66" s="4">
        <v>360.0</v>
      </c>
      <c r="K66" s="4">
        <v>0.0</v>
      </c>
      <c r="L66" s="4" t="s">
        <v>33</v>
      </c>
      <c r="M66" s="4" t="s">
        <v>22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109</v>
      </c>
      <c r="B67" s="4" t="s">
        <v>14</v>
      </c>
      <c r="C67" s="4" t="s">
        <v>20</v>
      </c>
      <c r="D67" s="5">
        <v>0.0</v>
      </c>
      <c r="E67" s="4" t="s">
        <v>16</v>
      </c>
      <c r="F67" s="4" t="s">
        <v>15</v>
      </c>
      <c r="G67" s="4">
        <v>5726.0</v>
      </c>
      <c r="H67" s="4">
        <v>4595.0</v>
      </c>
      <c r="I67" s="4">
        <v>258.0</v>
      </c>
      <c r="J67" s="4">
        <v>360.0</v>
      </c>
      <c r="K67" s="4">
        <v>1.0</v>
      </c>
      <c r="L67" s="4" t="s">
        <v>33</v>
      </c>
      <c r="M67" s="4" t="s">
        <v>22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110</v>
      </c>
      <c r="B68" s="4" t="s">
        <v>14</v>
      </c>
      <c r="C68" s="4" t="s">
        <v>15</v>
      </c>
      <c r="D68" s="5">
        <v>0.0</v>
      </c>
      <c r="E68" s="4" t="s">
        <v>25</v>
      </c>
      <c r="F68" s="4" t="s">
        <v>15</v>
      </c>
      <c r="G68" s="4">
        <v>3200.0</v>
      </c>
      <c r="H68" s="4">
        <v>2254.0</v>
      </c>
      <c r="I68" s="4">
        <v>126.0</v>
      </c>
      <c r="J68" s="4">
        <v>180.0</v>
      </c>
      <c r="K68" s="4">
        <v>0.0</v>
      </c>
      <c r="L68" s="4" t="s">
        <v>17</v>
      </c>
      <c r="M68" s="4" t="s">
        <v>22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111</v>
      </c>
      <c r="B69" s="4" t="s">
        <v>14</v>
      </c>
      <c r="C69" s="4" t="s">
        <v>20</v>
      </c>
      <c r="D69" s="5">
        <v>1.0</v>
      </c>
      <c r="E69" s="4" t="s">
        <v>16</v>
      </c>
      <c r="F69" s="4" t="s">
        <v>15</v>
      </c>
      <c r="G69" s="4">
        <v>10750.0</v>
      </c>
      <c r="H69" s="4">
        <v>0.0</v>
      </c>
      <c r="I69" s="4">
        <v>312.0</v>
      </c>
      <c r="J69" s="4">
        <v>360.0</v>
      </c>
      <c r="K69" s="4">
        <v>1.0</v>
      </c>
      <c r="L69" s="4" t="s">
        <v>17</v>
      </c>
      <c r="M69" s="4" t="s">
        <v>18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112</v>
      </c>
      <c r="B70" s="4" t="s">
        <v>14</v>
      </c>
      <c r="C70" s="4" t="s">
        <v>20</v>
      </c>
      <c r="D70" s="5" t="s">
        <v>32</v>
      </c>
      <c r="E70" s="4" t="s">
        <v>25</v>
      </c>
      <c r="F70" s="4" t="s">
        <v>20</v>
      </c>
      <c r="G70" s="4">
        <v>7100.0</v>
      </c>
      <c r="H70" s="4">
        <v>0.0</v>
      </c>
      <c r="I70" s="4">
        <v>125.0</v>
      </c>
      <c r="J70" s="4">
        <v>60.0</v>
      </c>
      <c r="K70" s="4">
        <v>1.0</v>
      </c>
      <c r="L70" s="4" t="s">
        <v>17</v>
      </c>
      <c r="M70" s="4" t="s">
        <v>18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113</v>
      </c>
      <c r="B71" s="4" t="s">
        <v>54</v>
      </c>
      <c r="C71" s="4" t="s">
        <v>15</v>
      </c>
      <c r="D71" s="5">
        <v>0.0</v>
      </c>
      <c r="E71" s="4" t="s">
        <v>16</v>
      </c>
      <c r="F71" s="4" t="s">
        <v>15</v>
      </c>
      <c r="G71" s="4">
        <v>4300.0</v>
      </c>
      <c r="H71" s="4">
        <v>0.0</v>
      </c>
      <c r="I71" s="4">
        <v>136.0</v>
      </c>
      <c r="J71" s="4">
        <v>360.0</v>
      </c>
      <c r="K71" s="4">
        <v>0.0</v>
      </c>
      <c r="L71" s="4" t="s">
        <v>33</v>
      </c>
      <c r="M71" s="4" t="s">
        <v>22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114</v>
      </c>
      <c r="B72" s="4" t="s">
        <v>14</v>
      </c>
      <c r="C72" s="4" t="s">
        <v>20</v>
      </c>
      <c r="D72" s="5">
        <v>0.0</v>
      </c>
      <c r="E72" s="4" t="s">
        <v>16</v>
      </c>
      <c r="F72" s="4" t="s">
        <v>15</v>
      </c>
      <c r="G72" s="4">
        <v>3208.0</v>
      </c>
      <c r="H72" s="4">
        <v>3066.0</v>
      </c>
      <c r="I72" s="4">
        <v>172.0</v>
      </c>
      <c r="J72" s="4">
        <v>360.0</v>
      </c>
      <c r="K72" s="4">
        <v>1.0</v>
      </c>
      <c r="L72" s="4" t="s">
        <v>17</v>
      </c>
      <c r="M72" s="4" t="s">
        <v>18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115</v>
      </c>
      <c r="B73" s="4" t="s">
        <v>14</v>
      </c>
      <c r="C73" s="4" t="s">
        <v>20</v>
      </c>
      <c r="D73" s="5">
        <v>2.0</v>
      </c>
      <c r="E73" s="4" t="s">
        <v>25</v>
      </c>
      <c r="F73" s="4" t="s">
        <v>20</v>
      </c>
      <c r="G73" s="4">
        <v>1875.0</v>
      </c>
      <c r="H73" s="4">
        <v>1875.0</v>
      </c>
      <c r="I73" s="4">
        <v>97.0</v>
      </c>
      <c r="J73" s="4">
        <v>360.0</v>
      </c>
      <c r="K73" s="4">
        <v>1.0</v>
      </c>
      <c r="L73" s="4" t="s">
        <v>33</v>
      </c>
      <c r="M73" s="4" t="s">
        <v>18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116</v>
      </c>
      <c r="B74" s="4" t="s">
        <v>14</v>
      </c>
      <c r="C74" s="4" t="s">
        <v>15</v>
      </c>
      <c r="D74" s="5">
        <v>0.0</v>
      </c>
      <c r="E74" s="4" t="s">
        <v>16</v>
      </c>
      <c r="F74" s="4" t="s">
        <v>15</v>
      </c>
      <c r="G74" s="4">
        <v>3500.0</v>
      </c>
      <c r="H74" s="4">
        <v>0.0</v>
      </c>
      <c r="I74" s="4">
        <v>81.0</v>
      </c>
      <c r="J74" s="4">
        <v>300.0</v>
      </c>
      <c r="K74" s="4">
        <v>1.0</v>
      </c>
      <c r="L74" s="4" t="s">
        <v>33</v>
      </c>
      <c r="M74" s="4" t="s">
        <v>18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117</v>
      </c>
      <c r="B75" s="4" t="s">
        <v>14</v>
      </c>
      <c r="C75" s="4" t="s">
        <v>20</v>
      </c>
      <c r="D75" s="5" t="s">
        <v>32</v>
      </c>
      <c r="E75" s="4" t="s">
        <v>25</v>
      </c>
      <c r="F75" s="4" t="s">
        <v>15</v>
      </c>
      <c r="G75" s="4">
        <v>4755.0</v>
      </c>
      <c r="H75" s="4">
        <v>0.0</v>
      </c>
      <c r="I75" s="4">
        <v>95.0</v>
      </c>
      <c r="J75" s="4">
        <v>360.0</v>
      </c>
      <c r="K75" s="4">
        <v>0.0</v>
      </c>
      <c r="L75" s="4" t="s">
        <v>33</v>
      </c>
      <c r="M75" s="4" t="s">
        <v>22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118</v>
      </c>
      <c r="B76" s="4" t="s">
        <v>14</v>
      </c>
      <c r="C76" s="4" t="s">
        <v>20</v>
      </c>
      <c r="D76" s="5" t="s">
        <v>32</v>
      </c>
      <c r="E76" s="4" t="s">
        <v>16</v>
      </c>
      <c r="F76" s="4" t="s">
        <v>20</v>
      </c>
      <c r="G76" s="4">
        <v>5266.0</v>
      </c>
      <c r="H76" s="4">
        <v>1774.0</v>
      </c>
      <c r="I76" s="4">
        <v>187.0</v>
      </c>
      <c r="J76" s="4">
        <v>360.0</v>
      </c>
      <c r="K76" s="4">
        <v>1.0</v>
      </c>
      <c r="L76" s="4" t="s">
        <v>33</v>
      </c>
      <c r="M76" s="4" t="s">
        <v>18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119</v>
      </c>
      <c r="B77" s="4" t="s">
        <v>14</v>
      </c>
      <c r="C77" s="4" t="s">
        <v>15</v>
      </c>
      <c r="D77" s="5">
        <v>0.0</v>
      </c>
      <c r="E77" s="4" t="s">
        <v>16</v>
      </c>
      <c r="F77" s="4" t="s">
        <v>15</v>
      </c>
      <c r="G77" s="4">
        <v>3750.0</v>
      </c>
      <c r="H77" s="4">
        <v>0.0</v>
      </c>
      <c r="I77" s="4">
        <v>113.0</v>
      </c>
      <c r="J77" s="4">
        <v>480.0</v>
      </c>
      <c r="K77" s="4">
        <v>1.0</v>
      </c>
      <c r="L77" s="4" t="s">
        <v>17</v>
      </c>
      <c r="M77" s="4" t="s">
        <v>22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120</v>
      </c>
      <c r="B78" s="4" t="s">
        <v>14</v>
      </c>
      <c r="C78" s="4" t="s">
        <v>15</v>
      </c>
      <c r="D78" s="5">
        <v>0.0</v>
      </c>
      <c r="E78" s="4" t="s">
        <v>16</v>
      </c>
      <c r="F78" s="4" t="s">
        <v>15</v>
      </c>
      <c r="G78" s="4">
        <v>3750.0</v>
      </c>
      <c r="H78" s="4">
        <v>4750.0</v>
      </c>
      <c r="I78" s="4">
        <v>176.0</v>
      </c>
      <c r="J78" s="4">
        <v>360.0</v>
      </c>
      <c r="K78" s="4">
        <v>1.0</v>
      </c>
      <c r="L78" s="4" t="s">
        <v>17</v>
      </c>
      <c r="M78" s="4" t="s">
        <v>22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121</v>
      </c>
      <c r="B79" s="4" t="s">
        <v>14</v>
      </c>
      <c r="C79" s="4" t="s">
        <v>20</v>
      </c>
      <c r="D79" s="5">
        <v>1.0</v>
      </c>
      <c r="E79" s="4" t="s">
        <v>16</v>
      </c>
      <c r="F79" s="4" t="s">
        <v>20</v>
      </c>
      <c r="G79" s="4">
        <v>1000.0</v>
      </c>
      <c r="H79" s="4">
        <v>3022.0</v>
      </c>
      <c r="I79" s="4">
        <v>110.0</v>
      </c>
      <c r="J79" s="4">
        <v>360.0</v>
      </c>
      <c r="K79" s="4">
        <v>1.0</v>
      </c>
      <c r="L79" s="4" t="s">
        <v>17</v>
      </c>
      <c r="M79" s="4" t="s">
        <v>22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122</v>
      </c>
      <c r="B80" s="4" t="s">
        <v>14</v>
      </c>
      <c r="C80" s="4" t="s">
        <v>20</v>
      </c>
      <c r="D80" s="5" t="s">
        <v>32</v>
      </c>
      <c r="E80" s="4" t="s">
        <v>16</v>
      </c>
      <c r="F80" s="4" t="s">
        <v>15</v>
      </c>
      <c r="G80" s="4">
        <v>3167.0</v>
      </c>
      <c r="H80" s="4">
        <v>4000.0</v>
      </c>
      <c r="I80" s="4">
        <v>180.0</v>
      </c>
      <c r="J80" s="4">
        <v>300.0</v>
      </c>
      <c r="K80" s="4">
        <v>0.0</v>
      </c>
      <c r="L80" s="4" t="s">
        <v>33</v>
      </c>
      <c r="M80" s="4" t="s">
        <v>22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123</v>
      </c>
      <c r="B81" s="4" t="s">
        <v>14</v>
      </c>
      <c r="C81" s="4" t="s">
        <v>20</v>
      </c>
      <c r="D81" s="5" t="s">
        <v>32</v>
      </c>
      <c r="E81" s="4" t="s">
        <v>25</v>
      </c>
      <c r="F81" s="4" t="s">
        <v>20</v>
      </c>
      <c r="G81" s="4">
        <v>3333.0</v>
      </c>
      <c r="H81" s="4">
        <v>2166.0</v>
      </c>
      <c r="I81" s="4">
        <v>130.0</v>
      </c>
      <c r="J81" s="4">
        <v>360.0</v>
      </c>
      <c r="K81" s="4">
        <v>1.0</v>
      </c>
      <c r="L81" s="4" t="s">
        <v>33</v>
      </c>
      <c r="M81" s="4" t="s">
        <v>18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124</v>
      </c>
      <c r="B82" s="4" t="s">
        <v>54</v>
      </c>
      <c r="C82" s="4" t="s">
        <v>15</v>
      </c>
      <c r="D82" s="5">
        <v>0.0</v>
      </c>
      <c r="E82" s="4" t="s">
        <v>16</v>
      </c>
      <c r="F82" s="4" t="s">
        <v>15</v>
      </c>
      <c r="G82" s="4">
        <v>3846.0</v>
      </c>
      <c r="H82" s="4">
        <v>0.0</v>
      </c>
      <c r="I82" s="4">
        <v>111.0</v>
      </c>
      <c r="J82" s="4">
        <v>360.0</v>
      </c>
      <c r="K82" s="4">
        <v>1.0</v>
      </c>
      <c r="L82" s="4" t="s">
        <v>33</v>
      </c>
      <c r="M82" s="4" t="s">
        <v>18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125</v>
      </c>
      <c r="B83" s="4" t="s">
        <v>14</v>
      </c>
      <c r="C83" s="4" t="s">
        <v>20</v>
      </c>
      <c r="D83" s="5">
        <v>1.0</v>
      </c>
      <c r="E83" s="4" t="s">
        <v>16</v>
      </c>
      <c r="F83" s="4" t="s">
        <v>20</v>
      </c>
      <c r="G83" s="4">
        <v>2395.0</v>
      </c>
      <c r="H83" s="4">
        <v>0.0</v>
      </c>
      <c r="I83" s="4">
        <v>128.0</v>
      </c>
      <c r="J83" s="4">
        <v>360.0</v>
      </c>
      <c r="K83" s="4">
        <v>1.0</v>
      </c>
      <c r="L83" s="4" t="s">
        <v>33</v>
      </c>
      <c r="M83" s="4" t="s">
        <v>18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126</v>
      </c>
      <c r="B84" s="4" t="s">
        <v>54</v>
      </c>
      <c r="C84" s="4" t="s">
        <v>20</v>
      </c>
      <c r="D84" s="5">
        <v>2.0</v>
      </c>
      <c r="E84" s="4" t="s">
        <v>16</v>
      </c>
      <c r="F84" s="4" t="s">
        <v>15</v>
      </c>
      <c r="G84" s="4">
        <v>1378.0</v>
      </c>
      <c r="H84" s="4">
        <v>1881.0</v>
      </c>
      <c r="I84" s="4">
        <v>167.0</v>
      </c>
      <c r="J84" s="4">
        <v>360.0</v>
      </c>
      <c r="K84" s="4">
        <v>1.0</v>
      </c>
      <c r="L84" s="4" t="s">
        <v>17</v>
      </c>
      <c r="M84" s="4" t="s">
        <v>22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127</v>
      </c>
      <c r="B85" s="4" t="s">
        <v>14</v>
      </c>
      <c r="C85" s="4" t="s">
        <v>20</v>
      </c>
      <c r="D85" s="5">
        <v>0.0</v>
      </c>
      <c r="E85" s="4" t="s">
        <v>16</v>
      </c>
      <c r="F85" s="4" t="s">
        <v>15</v>
      </c>
      <c r="G85" s="4">
        <v>6000.0</v>
      </c>
      <c r="H85" s="4">
        <v>2250.0</v>
      </c>
      <c r="I85" s="4">
        <v>265.0</v>
      </c>
      <c r="J85" s="4">
        <v>360.0</v>
      </c>
      <c r="K85" s="4">
        <v>1.0</v>
      </c>
      <c r="L85" s="4" t="s">
        <v>33</v>
      </c>
      <c r="M85" s="4" t="s">
        <v>22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128</v>
      </c>
      <c r="B86" s="4" t="s">
        <v>14</v>
      </c>
      <c r="C86" s="4" t="s">
        <v>20</v>
      </c>
      <c r="D86" s="5">
        <v>1.0</v>
      </c>
      <c r="E86" s="4" t="s">
        <v>16</v>
      </c>
      <c r="F86" s="4" t="s">
        <v>15</v>
      </c>
      <c r="G86" s="4">
        <v>3988.0</v>
      </c>
      <c r="H86" s="4">
        <v>0.0</v>
      </c>
      <c r="I86" s="4">
        <v>50.0</v>
      </c>
      <c r="J86" s="4">
        <v>240.0</v>
      </c>
      <c r="K86" s="4">
        <v>1.0</v>
      </c>
      <c r="L86" s="4" t="s">
        <v>17</v>
      </c>
      <c r="M86" s="4" t="s">
        <v>18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129</v>
      </c>
      <c r="B87" s="4" t="s">
        <v>14</v>
      </c>
      <c r="C87" s="4" t="s">
        <v>15</v>
      </c>
      <c r="D87" s="5">
        <v>0.0</v>
      </c>
      <c r="E87" s="4" t="s">
        <v>16</v>
      </c>
      <c r="F87" s="4" t="s">
        <v>15</v>
      </c>
      <c r="G87" s="4">
        <v>2366.0</v>
      </c>
      <c r="H87" s="4">
        <v>2531.0</v>
      </c>
      <c r="I87" s="4">
        <v>136.0</v>
      </c>
      <c r="J87" s="4">
        <v>360.0</v>
      </c>
      <c r="K87" s="4">
        <v>1.0</v>
      </c>
      <c r="L87" s="4" t="s">
        <v>33</v>
      </c>
      <c r="M87" s="4" t="s">
        <v>18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130</v>
      </c>
      <c r="B88" s="4" t="s">
        <v>14</v>
      </c>
      <c r="C88" s="4" t="s">
        <v>20</v>
      </c>
      <c r="D88" s="5">
        <v>2.0</v>
      </c>
      <c r="E88" s="4" t="s">
        <v>25</v>
      </c>
      <c r="F88" s="4" t="s">
        <v>15</v>
      </c>
      <c r="G88" s="4">
        <v>3333.0</v>
      </c>
      <c r="H88" s="4">
        <v>2000.0</v>
      </c>
      <c r="I88" s="4">
        <v>99.0</v>
      </c>
      <c r="J88" s="4">
        <v>360.0</v>
      </c>
      <c r="K88" s="4">
        <v>1.0</v>
      </c>
      <c r="L88" s="4" t="s">
        <v>33</v>
      </c>
      <c r="M88" s="4" t="s">
        <v>18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131</v>
      </c>
      <c r="B89" s="4" t="s">
        <v>14</v>
      </c>
      <c r="C89" s="4" t="s">
        <v>20</v>
      </c>
      <c r="D89" s="5">
        <v>0.0</v>
      </c>
      <c r="E89" s="4" t="s">
        <v>16</v>
      </c>
      <c r="F89" s="4" t="s">
        <v>15</v>
      </c>
      <c r="G89" s="4">
        <v>2500.0</v>
      </c>
      <c r="H89" s="4">
        <v>2118.0</v>
      </c>
      <c r="I89" s="4">
        <v>104.0</v>
      </c>
      <c r="J89" s="4">
        <v>360.0</v>
      </c>
      <c r="K89" s="4">
        <v>1.0</v>
      </c>
      <c r="L89" s="4" t="s">
        <v>33</v>
      </c>
      <c r="M89" s="4" t="s">
        <v>18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132</v>
      </c>
      <c r="B90" s="4" t="s">
        <v>14</v>
      </c>
      <c r="C90" s="4" t="s">
        <v>15</v>
      </c>
      <c r="D90" s="5">
        <v>0.0</v>
      </c>
      <c r="E90" s="4" t="s">
        <v>16</v>
      </c>
      <c r="F90" s="4" t="s">
        <v>15</v>
      </c>
      <c r="G90" s="4">
        <v>8566.0</v>
      </c>
      <c r="H90" s="4">
        <v>0.0</v>
      </c>
      <c r="I90" s="4">
        <v>210.0</v>
      </c>
      <c r="J90" s="4">
        <v>360.0</v>
      </c>
      <c r="K90" s="4">
        <v>1.0</v>
      </c>
      <c r="L90" s="4" t="s">
        <v>17</v>
      </c>
      <c r="M90" s="4" t="s">
        <v>18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133</v>
      </c>
      <c r="B91" s="4" t="s">
        <v>14</v>
      </c>
      <c r="C91" s="4" t="s">
        <v>20</v>
      </c>
      <c r="D91" s="5">
        <v>0.0</v>
      </c>
      <c r="E91" s="4" t="s">
        <v>16</v>
      </c>
      <c r="F91" s="4" t="s">
        <v>15</v>
      </c>
      <c r="G91" s="4">
        <v>5695.0</v>
      </c>
      <c r="H91" s="4">
        <v>4167.0</v>
      </c>
      <c r="I91" s="4">
        <v>175.0</v>
      </c>
      <c r="J91" s="4">
        <v>360.0</v>
      </c>
      <c r="K91" s="4">
        <v>1.0</v>
      </c>
      <c r="L91" s="4" t="s">
        <v>33</v>
      </c>
      <c r="M91" s="4" t="s">
        <v>18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134</v>
      </c>
      <c r="B92" s="4" t="s">
        <v>14</v>
      </c>
      <c r="C92" s="4" t="s">
        <v>20</v>
      </c>
      <c r="D92" s="5">
        <v>0.0</v>
      </c>
      <c r="E92" s="4" t="s">
        <v>16</v>
      </c>
      <c r="F92" s="4" t="s">
        <v>15</v>
      </c>
      <c r="G92" s="4">
        <v>2958.0</v>
      </c>
      <c r="H92" s="4">
        <v>2900.0</v>
      </c>
      <c r="I92" s="4">
        <v>131.0</v>
      </c>
      <c r="J92" s="4">
        <v>360.0</v>
      </c>
      <c r="K92" s="4">
        <v>1.0</v>
      </c>
      <c r="L92" s="4" t="s">
        <v>33</v>
      </c>
      <c r="M92" s="4" t="s">
        <v>18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135</v>
      </c>
      <c r="B93" s="4" t="s">
        <v>14</v>
      </c>
      <c r="C93" s="4" t="s">
        <v>20</v>
      </c>
      <c r="D93" s="5">
        <v>2.0</v>
      </c>
      <c r="E93" s="4" t="s">
        <v>16</v>
      </c>
      <c r="F93" s="4" t="s">
        <v>15</v>
      </c>
      <c r="G93" s="4">
        <v>6250.0</v>
      </c>
      <c r="H93" s="4">
        <v>5654.0</v>
      </c>
      <c r="I93" s="4">
        <v>188.0</v>
      </c>
      <c r="J93" s="4">
        <v>180.0</v>
      </c>
      <c r="K93" s="4">
        <v>1.0</v>
      </c>
      <c r="L93" s="4" t="s">
        <v>33</v>
      </c>
      <c r="M93" s="4" t="s">
        <v>18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136</v>
      </c>
      <c r="B94" s="4" t="s">
        <v>14</v>
      </c>
      <c r="C94" s="4" t="s">
        <v>20</v>
      </c>
      <c r="D94" s="5">
        <v>2.0</v>
      </c>
      <c r="E94" s="4" t="s">
        <v>25</v>
      </c>
      <c r="F94" s="4" t="s">
        <v>15</v>
      </c>
      <c r="G94" s="4">
        <v>3273.0</v>
      </c>
      <c r="H94" s="4">
        <v>1820.0</v>
      </c>
      <c r="I94" s="4">
        <v>81.0</v>
      </c>
      <c r="J94" s="4">
        <v>360.0</v>
      </c>
      <c r="K94" s="4">
        <v>1.0</v>
      </c>
      <c r="L94" s="4" t="s">
        <v>17</v>
      </c>
      <c r="M94" s="4" t="s">
        <v>18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137</v>
      </c>
      <c r="B95" s="4" t="s">
        <v>14</v>
      </c>
      <c r="C95" s="4" t="s">
        <v>15</v>
      </c>
      <c r="D95" s="5">
        <v>0.0</v>
      </c>
      <c r="E95" s="4" t="s">
        <v>16</v>
      </c>
      <c r="F95" s="4" t="s">
        <v>15</v>
      </c>
      <c r="G95" s="4">
        <v>4133.0</v>
      </c>
      <c r="H95" s="4">
        <v>0.0</v>
      </c>
      <c r="I95" s="4">
        <v>122.0</v>
      </c>
      <c r="J95" s="4">
        <v>360.0</v>
      </c>
      <c r="K95" s="4">
        <v>1.0</v>
      </c>
      <c r="L95" s="4" t="s">
        <v>33</v>
      </c>
      <c r="M95" s="4" t="s">
        <v>18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138</v>
      </c>
      <c r="B96" s="4" t="s">
        <v>14</v>
      </c>
      <c r="C96" s="4" t="s">
        <v>15</v>
      </c>
      <c r="D96" s="5">
        <v>0.0</v>
      </c>
      <c r="E96" s="4" t="s">
        <v>25</v>
      </c>
      <c r="F96" s="4" t="s">
        <v>15</v>
      </c>
      <c r="G96" s="4">
        <v>3620.0</v>
      </c>
      <c r="H96" s="4">
        <v>0.0</v>
      </c>
      <c r="I96" s="4">
        <v>25.0</v>
      </c>
      <c r="J96" s="4">
        <v>120.0</v>
      </c>
      <c r="K96" s="4">
        <v>1.0</v>
      </c>
      <c r="L96" s="4" t="s">
        <v>33</v>
      </c>
      <c r="M96" s="4" t="s">
        <v>18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139</v>
      </c>
      <c r="B97" s="4" t="s">
        <v>14</v>
      </c>
      <c r="C97" s="4" t="s">
        <v>15</v>
      </c>
      <c r="D97" s="5">
        <v>0.0</v>
      </c>
      <c r="E97" s="4" t="s">
        <v>16</v>
      </c>
      <c r="F97" s="4" t="s">
        <v>15</v>
      </c>
      <c r="G97" s="4">
        <v>6782.0</v>
      </c>
      <c r="H97" s="4">
        <v>0.0</v>
      </c>
      <c r="I97" s="4">
        <v>128.0</v>
      </c>
      <c r="J97" s="4">
        <v>360.0</v>
      </c>
      <c r="K97" s="4">
        <v>1.0</v>
      </c>
      <c r="L97" s="4" t="s">
        <v>17</v>
      </c>
      <c r="M97" s="4" t="s">
        <v>22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140</v>
      </c>
      <c r="B98" s="4" t="s">
        <v>54</v>
      </c>
      <c r="C98" s="4" t="s">
        <v>20</v>
      </c>
      <c r="D98" s="5">
        <v>0.0</v>
      </c>
      <c r="E98" s="4" t="s">
        <v>16</v>
      </c>
      <c r="F98" s="4" t="s">
        <v>15</v>
      </c>
      <c r="G98" s="4">
        <v>2484.0</v>
      </c>
      <c r="H98" s="4">
        <v>2302.0</v>
      </c>
      <c r="I98" s="4">
        <v>137.0</v>
      </c>
      <c r="J98" s="4">
        <v>360.0</v>
      </c>
      <c r="K98" s="4">
        <v>1.0</v>
      </c>
      <c r="L98" s="4" t="s">
        <v>33</v>
      </c>
      <c r="M98" s="4" t="s">
        <v>18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141</v>
      </c>
      <c r="B99" s="4" t="s">
        <v>14</v>
      </c>
      <c r="C99" s="4" t="s">
        <v>20</v>
      </c>
      <c r="D99" s="5">
        <v>0.0</v>
      </c>
      <c r="E99" s="4" t="s">
        <v>16</v>
      </c>
      <c r="F99" s="4" t="s">
        <v>15</v>
      </c>
      <c r="G99" s="4">
        <v>1977.0</v>
      </c>
      <c r="H99" s="4">
        <v>997.0</v>
      </c>
      <c r="I99" s="4">
        <v>50.0</v>
      </c>
      <c r="J99" s="4">
        <v>360.0</v>
      </c>
      <c r="K99" s="4">
        <v>1.0</v>
      </c>
      <c r="L99" s="4" t="s">
        <v>33</v>
      </c>
      <c r="M99" s="4" t="s">
        <v>18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142</v>
      </c>
      <c r="B100" s="4" t="s">
        <v>14</v>
      </c>
      <c r="C100" s="4" t="s">
        <v>20</v>
      </c>
      <c r="D100" s="5">
        <v>0.0</v>
      </c>
      <c r="E100" s="4" t="s">
        <v>25</v>
      </c>
      <c r="F100" s="4" t="s">
        <v>15</v>
      </c>
      <c r="G100" s="4">
        <v>4188.0</v>
      </c>
      <c r="H100" s="4">
        <v>0.0</v>
      </c>
      <c r="I100" s="4">
        <v>115.0</v>
      </c>
      <c r="J100" s="4">
        <v>180.0</v>
      </c>
      <c r="K100" s="4">
        <v>1.0</v>
      </c>
      <c r="L100" s="4" t="s">
        <v>33</v>
      </c>
      <c r="M100" s="4" t="s">
        <v>18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143</v>
      </c>
      <c r="B101" s="4" t="s">
        <v>14</v>
      </c>
      <c r="C101" s="4" t="s">
        <v>20</v>
      </c>
      <c r="D101" s="5">
        <v>0.0</v>
      </c>
      <c r="E101" s="4" t="s">
        <v>16</v>
      </c>
      <c r="F101" s="4" t="s">
        <v>15</v>
      </c>
      <c r="G101" s="4">
        <v>1759.0</v>
      </c>
      <c r="H101" s="4">
        <v>3541.0</v>
      </c>
      <c r="I101" s="4">
        <v>131.0</v>
      </c>
      <c r="J101" s="4">
        <v>360.0</v>
      </c>
      <c r="K101" s="4">
        <v>1.0</v>
      </c>
      <c r="L101" s="4" t="s">
        <v>33</v>
      </c>
      <c r="M101" s="4" t="s">
        <v>18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144</v>
      </c>
      <c r="B102" s="4" t="s">
        <v>14</v>
      </c>
      <c r="C102" s="4" t="s">
        <v>20</v>
      </c>
      <c r="D102" s="5">
        <v>2.0</v>
      </c>
      <c r="E102" s="4" t="s">
        <v>25</v>
      </c>
      <c r="F102" s="4" t="s">
        <v>15</v>
      </c>
      <c r="G102" s="4">
        <v>4288.0</v>
      </c>
      <c r="H102" s="4">
        <v>3263.0</v>
      </c>
      <c r="I102" s="4">
        <v>133.0</v>
      </c>
      <c r="J102" s="4">
        <v>180.0</v>
      </c>
      <c r="K102" s="4">
        <v>1.0</v>
      </c>
      <c r="L102" s="4" t="s">
        <v>17</v>
      </c>
      <c r="M102" s="4" t="s">
        <v>18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145</v>
      </c>
      <c r="B103" s="4" t="s">
        <v>14</v>
      </c>
      <c r="C103" s="4" t="s">
        <v>15</v>
      </c>
      <c r="D103" s="5">
        <v>0.0</v>
      </c>
      <c r="E103" s="4" t="s">
        <v>16</v>
      </c>
      <c r="F103" s="4" t="s">
        <v>15</v>
      </c>
      <c r="G103" s="4">
        <v>4843.0</v>
      </c>
      <c r="H103" s="4">
        <v>3806.0</v>
      </c>
      <c r="I103" s="4">
        <v>151.0</v>
      </c>
      <c r="J103" s="4">
        <v>360.0</v>
      </c>
      <c r="K103" s="4">
        <v>1.0</v>
      </c>
      <c r="L103" s="4" t="s">
        <v>33</v>
      </c>
      <c r="M103" s="4" t="s">
        <v>18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146</v>
      </c>
      <c r="B104" s="4" t="s">
        <v>14</v>
      </c>
      <c r="C104" s="4" t="s">
        <v>20</v>
      </c>
      <c r="D104" s="5">
        <v>0.0</v>
      </c>
      <c r="E104" s="4" t="s">
        <v>16</v>
      </c>
      <c r="F104" s="4" t="s">
        <v>15</v>
      </c>
      <c r="G104" s="4">
        <v>13650.0</v>
      </c>
      <c r="H104" s="4">
        <v>0.0</v>
      </c>
      <c r="I104" s="4">
        <v>128.0</v>
      </c>
      <c r="J104" s="4">
        <v>360.0</v>
      </c>
      <c r="K104" s="4">
        <v>1.0</v>
      </c>
      <c r="L104" s="4" t="s">
        <v>17</v>
      </c>
      <c r="M104" s="4" t="s">
        <v>18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147</v>
      </c>
      <c r="B105" s="4" t="s">
        <v>14</v>
      </c>
      <c r="C105" s="4" t="s">
        <v>20</v>
      </c>
      <c r="D105" s="5">
        <v>0.0</v>
      </c>
      <c r="E105" s="4" t="s">
        <v>16</v>
      </c>
      <c r="F105" s="4" t="s">
        <v>15</v>
      </c>
      <c r="G105" s="4">
        <v>4652.0</v>
      </c>
      <c r="H105" s="4">
        <v>3583.0</v>
      </c>
      <c r="I105" s="4">
        <v>128.0</v>
      </c>
      <c r="J105" s="4">
        <v>360.0</v>
      </c>
      <c r="K105" s="4">
        <v>1.0</v>
      </c>
      <c r="L105" s="4" t="s">
        <v>33</v>
      </c>
      <c r="M105" s="4" t="s">
        <v>18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148</v>
      </c>
      <c r="B106" s="4" t="s">
        <v>14</v>
      </c>
      <c r="C106" s="4" t="s">
        <v>20</v>
      </c>
      <c r="D106" s="5">
        <v>0.0</v>
      </c>
      <c r="E106" s="4" t="s">
        <v>16</v>
      </c>
      <c r="F106" s="4" t="s">
        <v>15</v>
      </c>
      <c r="G106" s="4">
        <v>3816.0</v>
      </c>
      <c r="H106" s="4">
        <v>754.0</v>
      </c>
      <c r="I106" s="4">
        <v>160.0</v>
      </c>
      <c r="J106" s="4">
        <v>360.0</v>
      </c>
      <c r="K106" s="4">
        <v>1.0</v>
      </c>
      <c r="L106" s="4" t="s">
        <v>17</v>
      </c>
      <c r="M106" s="4" t="s">
        <v>18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149</v>
      </c>
      <c r="B107" s="4" t="s">
        <v>14</v>
      </c>
      <c r="C107" s="4" t="s">
        <v>20</v>
      </c>
      <c r="D107" s="5">
        <v>1.0</v>
      </c>
      <c r="E107" s="4" t="s">
        <v>16</v>
      </c>
      <c r="F107" s="4" t="s">
        <v>15</v>
      </c>
      <c r="G107" s="4">
        <v>3052.0</v>
      </c>
      <c r="H107" s="4">
        <v>1030.0</v>
      </c>
      <c r="I107" s="4">
        <v>100.0</v>
      </c>
      <c r="J107" s="4">
        <v>360.0</v>
      </c>
      <c r="K107" s="4">
        <v>1.0</v>
      </c>
      <c r="L107" s="4" t="s">
        <v>17</v>
      </c>
      <c r="M107" s="4" t="s">
        <v>18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150</v>
      </c>
      <c r="B108" s="4" t="s">
        <v>14</v>
      </c>
      <c r="C108" s="4" t="s">
        <v>20</v>
      </c>
      <c r="D108" s="5">
        <v>2.0</v>
      </c>
      <c r="E108" s="4" t="s">
        <v>16</v>
      </c>
      <c r="F108" s="4" t="s">
        <v>15</v>
      </c>
      <c r="G108" s="4">
        <v>11417.0</v>
      </c>
      <c r="H108" s="4">
        <v>1126.0</v>
      </c>
      <c r="I108" s="4">
        <v>225.0</v>
      </c>
      <c r="J108" s="4">
        <v>360.0</v>
      </c>
      <c r="K108" s="4">
        <v>1.0</v>
      </c>
      <c r="L108" s="4" t="s">
        <v>17</v>
      </c>
      <c r="M108" s="4" t="s">
        <v>18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151</v>
      </c>
      <c r="B109" s="4" t="s">
        <v>14</v>
      </c>
      <c r="C109" s="4" t="s">
        <v>15</v>
      </c>
      <c r="D109" s="5">
        <v>0.0</v>
      </c>
      <c r="E109" s="4" t="s">
        <v>25</v>
      </c>
      <c r="F109" s="4" t="s">
        <v>15</v>
      </c>
      <c r="G109" s="4">
        <v>7333.0</v>
      </c>
      <c r="H109" s="4">
        <v>0.0</v>
      </c>
      <c r="I109" s="4">
        <v>120.0</v>
      </c>
      <c r="J109" s="4">
        <v>360.0</v>
      </c>
      <c r="K109" s="4">
        <v>1.0</v>
      </c>
      <c r="L109" s="4" t="s">
        <v>21</v>
      </c>
      <c r="M109" s="4" t="s">
        <v>22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152</v>
      </c>
      <c r="B110" s="4" t="s">
        <v>14</v>
      </c>
      <c r="C110" s="4" t="s">
        <v>20</v>
      </c>
      <c r="D110" s="5">
        <v>2.0</v>
      </c>
      <c r="E110" s="4" t="s">
        <v>16</v>
      </c>
      <c r="F110" s="4" t="s">
        <v>15</v>
      </c>
      <c r="G110" s="4">
        <v>3800.0</v>
      </c>
      <c r="H110" s="4">
        <v>3600.0</v>
      </c>
      <c r="I110" s="4">
        <v>216.0</v>
      </c>
      <c r="J110" s="4">
        <v>360.0</v>
      </c>
      <c r="K110" s="4">
        <v>0.0</v>
      </c>
      <c r="L110" s="4" t="s">
        <v>17</v>
      </c>
      <c r="M110" s="4" t="s">
        <v>22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153</v>
      </c>
      <c r="B111" s="4" t="s">
        <v>14</v>
      </c>
      <c r="C111" s="4" t="s">
        <v>20</v>
      </c>
      <c r="D111" s="5" t="s">
        <v>32</v>
      </c>
      <c r="E111" s="4" t="s">
        <v>25</v>
      </c>
      <c r="F111" s="4" t="s">
        <v>15</v>
      </c>
      <c r="G111" s="4">
        <v>2071.0</v>
      </c>
      <c r="H111" s="4">
        <v>754.0</v>
      </c>
      <c r="I111" s="4">
        <v>94.0</v>
      </c>
      <c r="J111" s="4">
        <v>480.0</v>
      </c>
      <c r="K111" s="4">
        <v>1.0</v>
      </c>
      <c r="L111" s="4" t="s">
        <v>33</v>
      </c>
      <c r="M111" s="4" t="s">
        <v>18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154</v>
      </c>
      <c r="B112" s="4" t="s">
        <v>14</v>
      </c>
      <c r="C112" s="4" t="s">
        <v>15</v>
      </c>
      <c r="D112" s="5">
        <v>0.0</v>
      </c>
      <c r="E112" s="4" t="s">
        <v>16</v>
      </c>
      <c r="F112" s="4" t="s">
        <v>15</v>
      </c>
      <c r="G112" s="4">
        <v>5316.0</v>
      </c>
      <c r="H112" s="4">
        <v>0.0</v>
      </c>
      <c r="I112" s="4">
        <v>136.0</v>
      </c>
      <c r="J112" s="4">
        <v>360.0</v>
      </c>
      <c r="K112" s="4">
        <v>1.0</v>
      </c>
      <c r="L112" s="4" t="s">
        <v>17</v>
      </c>
      <c r="M112" s="4" t="s">
        <v>18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155</v>
      </c>
      <c r="B113" s="4" t="s">
        <v>54</v>
      </c>
      <c r="C113" s="4" t="s">
        <v>20</v>
      </c>
      <c r="D113" s="5">
        <v>0.0</v>
      </c>
      <c r="E113" s="4" t="s">
        <v>16</v>
      </c>
      <c r="F113" s="4" t="s">
        <v>15</v>
      </c>
      <c r="G113" s="4">
        <v>2929.0</v>
      </c>
      <c r="H113" s="4">
        <v>2333.0</v>
      </c>
      <c r="I113" s="4">
        <v>139.0</v>
      </c>
      <c r="J113" s="4">
        <v>360.0</v>
      </c>
      <c r="K113" s="4">
        <v>1.0</v>
      </c>
      <c r="L113" s="4" t="s">
        <v>33</v>
      </c>
      <c r="M113" s="4" t="s">
        <v>18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156</v>
      </c>
      <c r="B114" s="4" t="s">
        <v>14</v>
      </c>
      <c r="C114" s="4" t="s">
        <v>20</v>
      </c>
      <c r="D114" s="5">
        <v>0.0</v>
      </c>
      <c r="E114" s="4" t="s">
        <v>25</v>
      </c>
      <c r="F114" s="4" t="s">
        <v>15</v>
      </c>
      <c r="G114" s="4">
        <v>3572.0</v>
      </c>
      <c r="H114" s="4">
        <v>4114.0</v>
      </c>
      <c r="I114" s="4">
        <v>152.0</v>
      </c>
      <c r="J114" s="4">
        <v>360.0</v>
      </c>
      <c r="K114" s="4">
        <v>0.0</v>
      </c>
      <c r="L114" s="4" t="s">
        <v>21</v>
      </c>
      <c r="M114" s="4" t="s">
        <v>22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157</v>
      </c>
      <c r="B115" s="4" t="s">
        <v>54</v>
      </c>
      <c r="C115" s="4" t="s">
        <v>15</v>
      </c>
      <c r="D115" s="5">
        <v>1.0</v>
      </c>
      <c r="E115" s="4" t="s">
        <v>16</v>
      </c>
      <c r="F115" s="4" t="s">
        <v>20</v>
      </c>
      <c r="G115" s="4">
        <v>7451.0</v>
      </c>
      <c r="H115" s="4">
        <v>0.0</v>
      </c>
      <c r="I115" s="4">
        <v>128.0</v>
      </c>
      <c r="J115" s="4">
        <v>360.0</v>
      </c>
      <c r="K115" s="4">
        <v>1.0</v>
      </c>
      <c r="L115" s="4" t="s">
        <v>33</v>
      </c>
      <c r="M115" s="4" t="s">
        <v>18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158</v>
      </c>
      <c r="B116" s="4" t="s">
        <v>14</v>
      </c>
      <c r="C116" s="4" t="s">
        <v>15</v>
      </c>
      <c r="D116" s="5">
        <v>0.0</v>
      </c>
      <c r="E116" s="4" t="s">
        <v>16</v>
      </c>
      <c r="F116" s="4" t="s">
        <v>15</v>
      </c>
      <c r="G116" s="4">
        <v>5050.0</v>
      </c>
      <c r="H116" s="4">
        <v>0.0</v>
      </c>
      <c r="I116" s="4">
        <v>118.0</v>
      </c>
      <c r="J116" s="4">
        <v>360.0</v>
      </c>
      <c r="K116" s="4">
        <v>1.0</v>
      </c>
      <c r="L116" s="4" t="s">
        <v>33</v>
      </c>
      <c r="M116" s="4" t="s">
        <v>18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159</v>
      </c>
      <c r="B117" s="4" t="s">
        <v>14</v>
      </c>
      <c r="C117" s="4" t="s">
        <v>20</v>
      </c>
      <c r="D117" s="5">
        <v>1.0</v>
      </c>
      <c r="E117" s="4" t="s">
        <v>16</v>
      </c>
      <c r="F117" s="4" t="s">
        <v>15</v>
      </c>
      <c r="G117" s="4">
        <v>14583.0</v>
      </c>
      <c r="H117" s="4">
        <v>0.0</v>
      </c>
      <c r="I117" s="4">
        <v>185.0</v>
      </c>
      <c r="J117" s="4">
        <v>180.0</v>
      </c>
      <c r="K117" s="4">
        <v>1.0</v>
      </c>
      <c r="L117" s="4" t="s">
        <v>21</v>
      </c>
      <c r="M117" s="4" t="s">
        <v>18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160</v>
      </c>
      <c r="B118" s="4" t="s">
        <v>54</v>
      </c>
      <c r="C118" s="4" t="s">
        <v>20</v>
      </c>
      <c r="D118" s="5">
        <v>0.0</v>
      </c>
      <c r="E118" s="4" t="s">
        <v>16</v>
      </c>
      <c r="F118" s="4" t="s">
        <v>15</v>
      </c>
      <c r="G118" s="4">
        <v>3167.0</v>
      </c>
      <c r="H118" s="4">
        <v>2283.0</v>
      </c>
      <c r="I118" s="4">
        <v>154.0</v>
      </c>
      <c r="J118" s="4">
        <v>360.0</v>
      </c>
      <c r="K118" s="4">
        <v>1.0</v>
      </c>
      <c r="L118" s="4" t="s">
        <v>33</v>
      </c>
      <c r="M118" s="4" t="s">
        <v>18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161</v>
      </c>
      <c r="B119" s="4" t="s">
        <v>14</v>
      </c>
      <c r="C119" s="4" t="s">
        <v>20</v>
      </c>
      <c r="D119" s="5">
        <v>1.0</v>
      </c>
      <c r="E119" s="4" t="s">
        <v>16</v>
      </c>
      <c r="F119" s="4" t="s">
        <v>15</v>
      </c>
      <c r="G119" s="4">
        <v>2214.0</v>
      </c>
      <c r="H119" s="4">
        <v>1398.0</v>
      </c>
      <c r="I119" s="4">
        <v>85.0</v>
      </c>
      <c r="J119" s="4">
        <v>360.0</v>
      </c>
      <c r="K119" s="4">
        <v>1.0</v>
      </c>
      <c r="L119" s="4" t="s">
        <v>17</v>
      </c>
      <c r="M119" s="4" t="s">
        <v>18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162</v>
      </c>
      <c r="B120" s="4" t="s">
        <v>14</v>
      </c>
      <c r="C120" s="4" t="s">
        <v>20</v>
      </c>
      <c r="D120" s="5">
        <v>0.0</v>
      </c>
      <c r="E120" s="4" t="s">
        <v>16</v>
      </c>
      <c r="F120" s="4" t="s">
        <v>15</v>
      </c>
      <c r="G120" s="4">
        <v>5568.0</v>
      </c>
      <c r="H120" s="4">
        <v>2142.0</v>
      </c>
      <c r="I120" s="4">
        <v>175.0</v>
      </c>
      <c r="J120" s="4">
        <v>360.0</v>
      </c>
      <c r="K120" s="4">
        <v>1.0</v>
      </c>
      <c r="L120" s="4" t="s">
        <v>21</v>
      </c>
      <c r="M120" s="4" t="s">
        <v>22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163</v>
      </c>
      <c r="B121" s="4" t="s">
        <v>54</v>
      </c>
      <c r="C121" s="4" t="s">
        <v>15</v>
      </c>
      <c r="D121" s="5">
        <v>0.0</v>
      </c>
      <c r="E121" s="4" t="s">
        <v>16</v>
      </c>
      <c r="F121" s="4" t="s">
        <v>15</v>
      </c>
      <c r="G121" s="4">
        <v>10408.0</v>
      </c>
      <c r="H121" s="4">
        <v>0.0</v>
      </c>
      <c r="I121" s="4">
        <v>259.0</v>
      </c>
      <c r="J121" s="4">
        <v>360.0</v>
      </c>
      <c r="K121" s="4">
        <v>1.0</v>
      </c>
      <c r="L121" s="4" t="s">
        <v>17</v>
      </c>
      <c r="M121" s="4" t="s">
        <v>18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164</v>
      </c>
      <c r="B122" s="4" t="s">
        <v>14</v>
      </c>
      <c r="C122" s="4" t="s">
        <v>20</v>
      </c>
      <c r="D122" s="5">
        <v>0.0</v>
      </c>
      <c r="E122" s="4" t="s">
        <v>16</v>
      </c>
      <c r="F122" s="4" t="s">
        <v>15</v>
      </c>
      <c r="G122" s="4">
        <v>5667.0</v>
      </c>
      <c r="H122" s="4">
        <v>2667.0</v>
      </c>
      <c r="I122" s="4">
        <v>180.0</v>
      </c>
      <c r="J122" s="4">
        <v>360.0</v>
      </c>
      <c r="K122" s="4">
        <v>1.0</v>
      </c>
      <c r="L122" s="4" t="s">
        <v>21</v>
      </c>
      <c r="M122" s="4" t="s">
        <v>18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165</v>
      </c>
      <c r="B123" s="4" t="s">
        <v>54</v>
      </c>
      <c r="C123" s="4" t="s">
        <v>15</v>
      </c>
      <c r="D123" s="5">
        <v>0.0</v>
      </c>
      <c r="E123" s="4" t="s">
        <v>16</v>
      </c>
      <c r="F123" s="4" t="s">
        <v>15</v>
      </c>
      <c r="G123" s="4">
        <v>4166.0</v>
      </c>
      <c r="H123" s="4">
        <v>0.0</v>
      </c>
      <c r="I123" s="4">
        <v>44.0</v>
      </c>
      <c r="J123" s="4">
        <v>360.0</v>
      </c>
      <c r="K123" s="4">
        <v>1.0</v>
      </c>
      <c r="L123" s="4" t="s">
        <v>33</v>
      </c>
      <c r="M123" s="4" t="s">
        <v>18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166</v>
      </c>
      <c r="B124" s="4" t="s">
        <v>54</v>
      </c>
      <c r="C124" s="4" t="s">
        <v>15</v>
      </c>
      <c r="D124" s="5">
        <v>0.0</v>
      </c>
      <c r="E124" s="4" t="s">
        <v>16</v>
      </c>
      <c r="F124" s="4" t="s">
        <v>15</v>
      </c>
      <c r="G124" s="4">
        <v>2137.0</v>
      </c>
      <c r="H124" s="4">
        <v>8980.0</v>
      </c>
      <c r="I124" s="4">
        <v>137.0</v>
      </c>
      <c r="J124" s="4">
        <v>360.0</v>
      </c>
      <c r="K124" s="4">
        <v>0.0</v>
      </c>
      <c r="L124" s="4" t="s">
        <v>33</v>
      </c>
      <c r="M124" s="4" t="s">
        <v>18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167</v>
      </c>
      <c r="B125" s="4" t="s">
        <v>14</v>
      </c>
      <c r="C125" s="4" t="s">
        <v>20</v>
      </c>
      <c r="D125" s="5">
        <v>2.0</v>
      </c>
      <c r="E125" s="4" t="s">
        <v>16</v>
      </c>
      <c r="F125" s="4" t="s">
        <v>15</v>
      </c>
      <c r="G125" s="4">
        <v>2957.0</v>
      </c>
      <c r="H125" s="4">
        <v>0.0</v>
      </c>
      <c r="I125" s="4">
        <v>81.0</v>
      </c>
      <c r="J125" s="4">
        <v>360.0</v>
      </c>
      <c r="K125" s="4">
        <v>1.0</v>
      </c>
      <c r="L125" s="4" t="s">
        <v>33</v>
      </c>
      <c r="M125" s="4" t="s">
        <v>18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168</v>
      </c>
      <c r="B126" s="4" t="s">
        <v>14</v>
      </c>
      <c r="C126" s="4" t="s">
        <v>20</v>
      </c>
      <c r="D126" s="5">
        <v>0.0</v>
      </c>
      <c r="E126" s="4" t="s">
        <v>25</v>
      </c>
      <c r="F126" s="4" t="s">
        <v>15</v>
      </c>
      <c r="G126" s="4">
        <v>4300.0</v>
      </c>
      <c r="H126" s="4">
        <v>2014.0</v>
      </c>
      <c r="I126" s="4">
        <v>194.0</v>
      </c>
      <c r="J126" s="4">
        <v>360.0</v>
      </c>
      <c r="K126" s="4">
        <v>1.0</v>
      </c>
      <c r="L126" s="4" t="s">
        <v>21</v>
      </c>
      <c r="M126" s="4" t="s">
        <v>18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169</v>
      </c>
      <c r="B127" s="4" t="s">
        <v>54</v>
      </c>
      <c r="C127" s="4" t="s">
        <v>15</v>
      </c>
      <c r="D127" s="5">
        <v>0.0</v>
      </c>
      <c r="E127" s="4" t="s">
        <v>16</v>
      </c>
      <c r="F127" s="4" t="s">
        <v>15</v>
      </c>
      <c r="G127" s="4">
        <v>3692.0</v>
      </c>
      <c r="H127" s="4">
        <v>0.0</v>
      </c>
      <c r="I127" s="4">
        <v>93.0</v>
      </c>
      <c r="J127" s="4">
        <v>360.0</v>
      </c>
      <c r="K127" s="4">
        <v>1.0</v>
      </c>
      <c r="L127" s="4" t="s">
        <v>21</v>
      </c>
      <c r="M127" s="4" t="s">
        <v>18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170</v>
      </c>
      <c r="B128" s="4" t="s">
        <v>14</v>
      </c>
      <c r="C128" s="4" t="s">
        <v>20</v>
      </c>
      <c r="D128" s="5" t="s">
        <v>32</v>
      </c>
      <c r="E128" s="4" t="s">
        <v>16</v>
      </c>
      <c r="F128" s="4" t="s">
        <v>15</v>
      </c>
      <c r="G128" s="4">
        <v>23803.0</v>
      </c>
      <c r="H128" s="4">
        <v>0.0</v>
      </c>
      <c r="I128" s="4">
        <v>370.0</v>
      </c>
      <c r="J128" s="4">
        <v>360.0</v>
      </c>
      <c r="K128" s="4">
        <v>1.0</v>
      </c>
      <c r="L128" s="4" t="s">
        <v>21</v>
      </c>
      <c r="M128" s="4" t="s">
        <v>18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171</v>
      </c>
      <c r="B129" s="4" t="s">
        <v>14</v>
      </c>
      <c r="C129" s="4" t="s">
        <v>15</v>
      </c>
      <c r="D129" s="5">
        <v>0.0</v>
      </c>
      <c r="E129" s="4" t="s">
        <v>16</v>
      </c>
      <c r="F129" s="4" t="s">
        <v>15</v>
      </c>
      <c r="G129" s="4">
        <v>3865.0</v>
      </c>
      <c r="H129" s="4">
        <v>1640.0</v>
      </c>
      <c r="I129" s="4">
        <v>128.0</v>
      </c>
      <c r="J129" s="4">
        <v>360.0</v>
      </c>
      <c r="K129" s="4">
        <v>1.0</v>
      </c>
      <c r="L129" s="4" t="s">
        <v>21</v>
      </c>
      <c r="M129" s="4" t="s">
        <v>18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172</v>
      </c>
      <c r="B130" s="4" t="s">
        <v>14</v>
      </c>
      <c r="C130" s="4" t="s">
        <v>20</v>
      </c>
      <c r="D130" s="5">
        <v>1.0</v>
      </c>
      <c r="E130" s="4" t="s">
        <v>16</v>
      </c>
      <c r="F130" s="4" t="s">
        <v>20</v>
      </c>
      <c r="G130" s="4">
        <v>10513.0</v>
      </c>
      <c r="H130" s="4">
        <v>3850.0</v>
      </c>
      <c r="I130" s="4">
        <v>160.0</v>
      </c>
      <c r="J130" s="4">
        <v>180.0</v>
      </c>
      <c r="K130" s="4">
        <v>0.0</v>
      </c>
      <c r="L130" s="4" t="s">
        <v>17</v>
      </c>
      <c r="M130" s="4" t="s">
        <v>22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173</v>
      </c>
      <c r="B131" s="4" t="s">
        <v>14</v>
      </c>
      <c r="C131" s="4" t="s">
        <v>20</v>
      </c>
      <c r="D131" s="5">
        <v>0.0</v>
      </c>
      <c r="E131" s="4" t="s">
        <v>16</v>
      </c>
      <c r="F131" s="4" t="s">
        <v>15</v>
      </c>
      <c r="G131" s="4">
        <v>6080.0</v>
      </c>
      <c r="H131" s="4">
        <v>2569.0</v>
      </c>
      <c r="I131" s="4">
        <v>182.0</v>
      </c>
      <c r="J131" s="4">
        <v>360.0</v>
      </c>
      <c r="K131" s="4">
        <v>1.0</v>
      </c>
      <c r="L131" s="4" t="s">
        <v>21</v>
      </c>
      <c r="M131" s="4" t="s">
        <v>22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174</v>
      </c>
      <c r="B132" s="4" t="s">
        <v>14</v>
      </c>
      <c r="C132" s="4" t="s">
        <v>15</v>
      </c>
      <c r="D132" s="5">
        <v>0.0</v>
      </c>
      <c r="E132" s="4" t="s">
        <v>16</v>
      </c>
      <c r="F132" s="4" t="s">
        <v>20</v>
      </c>
      <c r="G132" s="4">
        <v>20166.0</v>
      </c>
      <c r="H132" s="4">
        <v>0.0</v>
      </c>
      <c r="I132" s="4">
        <v>650.0</v>
      </c>
      <c r="J132" s="4">
        <v>480.0</v>
      </c>
      <c r="K132" s="4">
        <v>1.0</v>
      </c>
      <c r="L132" s="4" t="s">
        <v>17</v>
      </c>
      <c r="M132" s="4" t="s">
        <v>18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175</v>
      </c>
      <c r="B133" s="4" t="s">
        <v>14</v>
      </c>
      <c r="C133" s="4" t="s">
        <v>15</v>
      </c>
      <c r="D133" s="5">
        <v>0.0</v>
      </c>
      <c r="E133" s="4" t="s">
        <v>16</v>
      </c>
      <c r="F133" s="4" t="s">
        <v>15</v>
      </c>
      <c r="G133" s="4">
        <v>2014.0</v>
      </c>
      <c r="H133" s="4">
        <v>1929.0</v>
      </c>
      <c r="I133" s="4">
        <v>74.0</v>
      </c>
      <c r="J133" s="4">
        <v>360.0</v>
      </c>
      <c r="K133" s="4">
        <v>1.0</v>
      </c>
      <c r="L133" s="4" t="s">
        <v>17</v>
      </c>
      <c r="M133" s="4" t="s">
        <v>18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176</v>
      </c>
      <c r="B134" s="4" t="s">
        <v>14</v>
      </c>
      <c r="C134" s="4" t="s">
        <v>15</v>
      </c>
      <c r="D134" s="5">
        <v>0.0</v>
      </c>
      <c r="E134" s="4" t="s">
        <v>16</v>
      </c>
      <c r="F134" s="4" t="s">
        <v>15</v>
      </c>
      <c r="G134" s="4">
        <v>2718.0</v>
      </c>
      <c r="H134" s="4">
        <v>0.0</v>
      </c>
      <c r="I134" s="4">
        <v>70.0</v>
      </c>
      <c r="J134" s="4">
        <v>360.0</v>
      </c>
      <c r="K134" s="4">
        <v>1.0</v>
      </c>
      <c r="L134" s="4" t="s">
        <v>33</v>
      </c>
      <c r="M134" s="4" t="s">
        <v>18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177</v>
      </c>
      <c r="B135" s="4" t="s">
        <v>14</v>
      </c>
      <c r="C135" s="4" t="s">
        <v>20</v>
      </c>
      <c r="D135" s="5">
        <v>0.0</v>
      </c>
      <c r="E135" s="4" t="s">
        <v>16</v>
      </c>
      <c r="F135" s="4" t="s">
        <v>20</v>
      </c>
      <c r="G135" s="4">
        <v>3459.0</v>
      </c>
      <c r="H135" s="4">
        <v>0.0</v>
      </c>
      <c r="I135" s="4">
        <v>25.0</v>
      </c>
      <c r="J135" s="4">
        <v>120.0</v>
      </c>
      <c r="K135" s="4">
        <v>1.0</v>
      </c>
      <c r="L135" s="4" t="s">
        <v>33</v>
      </c>
      <c r="M135" s="4" t="s">
        <v>18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178</v>
      </c>
      <c r="B136" s="4" t="s">
        <v>14</v>
      </c>
      <c r="C136" s="4" t="s">
        <v>15</v>
      </c>
      <c r="D136" s="5">
        <v>0.0</v>
      </c>
      <c r="E136" s="4" t="s">
        <v>16</v>
      </c>
      <c r="F136" s="4" t="s">
        <v>15</v>
      </c>
      <c r="G136" s="4">
        <v>4895.0</v>
      </c>
      <c r="H136" s="4">
        <v>0.0</v>
      </c>
      <c r="I136" s="4">
        <v>102.0</v>
      </c>
      <c r="J136" s="4">
        <v>360.0</v>
      </c>
      <c r="K136" s="4">
        <v>1.0</v>
      </c>
      <c r="L136" s="4" t="s">
        <v>33</v>
      </c>
      <c r="M136" s="4" t="s">
        <v>18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179</v>
      </c>
      <c r="B137" s="4" t="s">
        <v>14</v>
      </c>
      <c r="C137" s="4" t="s">
        <v>20</v>
      </c>
      <c r="D137" s="5" t="s">
        <v>32</v>
      </c>
      <c r="E137" s="4" t="s">
        <v>16</v>
      </c>
      <c r="F137" s="4" t="s">
        <v>15</v>
      </c>
      <c r="G137" s="4">
        <v>4000.0</v>
      </c>
      <c r="H137" s="4">
        <v>7750.0</v>
      </c>
      <c r="I137" s="4">
        <v>290.0</v>
      </c>
      <c r="J137" s="4">
        <v>360.0</v>
      </c>
      <c r="K137" s="4">
        <v>1.0</v>
      </c>
      <c r="L137" s="4" t="s">
        <v>33</v>
      </c>
      <c r="M137" s="4" t="s">
        <v>22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180</v>
      </c>
      <c r="B138" s="4" t="s">
        <v>54</v>
      </c>
      <c r="C138" s="4" t="s">
        <v>20</v>
      </c>
      <c r="D138" s="5">
        <v>0.0</v>
      </c>
      <c r="E138" s="4" t="s">
        <v>16</v>
      </c>
      <c r="F138" s="4" t="s">
        <v>15</v>
      </c>
      <c r="G138" s="4">
        <v>4583.0</v>
      </c>
      <c r="H138" s="4">
        <v>0.0</v>
      </c>
      <c r="I138" s="4">
        <v>84.0</v>
      </c>
      <c r="J138" s="4">
        <v>360.0</v>
      </c>
      <c r="K138" s="4">
        <v>1.0</v>
      </c>
      <c r="L138" s="4" t="s">
        <v>21</v>
      </c>
      <c r="M138" s="4" t="s">
        <v>22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181</v>
      </c>
      <c r="B139" s="4" t="s">
        <v>14</v>
      </c>
      <c r="C139" s="4" t="s">
        <v>20</v>
      </c>
      <c r="D139" s="5">
        <v>2.0</v>
      </c>
      <c r="E139" s="4" t="s">
        <v>16</v>
      </c>
      <c r="F139" s="4" t="s">
        <v>20</v>
      </c>
      <c r="G139" s="4">
        <v>3316.0</v>
      </c>
      <c r="H139" s="4">
        <v>3500.0</v>
      </c>
      <c r="I139" s="4">
        <v>88.0</v>
      </c>
      <c r="J139" s="4">
        <v>360.0</v>
      </c>
      <c r="K139" s="4">
        <v>1.0</v>
      </c>
      <c r="L139" s="4" t="s">
        <v>17</v>
      </c>
      <c r="M139" s="4" t="s">
        <v>18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182</v>
      </c>
      <c r="B140" s="4" t="s">
        <v>14</v>
      </c>
      <c r="C140" s="4" t="s">
        <v>15</v>
      </c>
      <c r="D140" s="5">
        <v>0.0</v>
      </c>
      <c r="E140" s="4" t="s">
        <v>16</v>
      </c>
      <c r="F140" s="4" t="s">
        <v>15</v>
      </c>
      <c r="G140" s="4">
        <v>14999.0</v>
      </c>
      <c r="H140" s="4">
        <v>0.0</v>
      </c>
      <c r="I140" s="4">
        <v>242.0</v>
      </c>
      <c r="J140" s="4">
        <v>360.0</v>
      </c>
      <c r="K140" s="4">
        <v>0.0</v>
      </c>
      <c r="L140" s="4" t="s">
        <v>33</v>
      </c>
      <c r="M140" s="4" t="s">
        <v>22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183</v>
      </c>
      <c r="B141" s="4" t="s">
        <v>14</v>
      </c>
      <c r="C141" s="4" t="s">
        <v>20</v>
      </c>
      <c r="D141" s="5">
        <v>2.0</v>
      </c>
      <c r="E141" s="4" t="s">
        <v>25</v>
      </c>
      <c r="F141" s="4" t="s">
        <v>15</v>
      </c>
      <c r="G141" s="4">
        <v>4200.0</v>
      </c>
      <c r="H141" s="4">
        <v>1430.0</v>
      </c>
      <c r="I141" s="4">
        <v>129.0</v>
      </c>
      <c r="J141" s="4">
        <v>360.0</v>
      </c>
      <c r="K141" s="4">
        <v>1.0</v>
      </c>
      <c r="L141" s="4" t="s">
        <v>21</v>
      </c>
      <c r="M141" s="4" t="s">
        <v>22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184</v>
      </c>
      <c r="B142" s="4" t="s">
        <v>14</v>
      </c>
      <c r="C142" s="4" t="s">
        <v>20</v>
      </c>
      <c r="D142" s="5">
        <v>2.0</v>
      </c>
      <c r="E142" s="4" t="s">
        <v>16</v>
      </c>
      <c r="F142" s="4" t="s">
        <v>15</v>
      </c>
      <c r="G142" s="4">
        <v>5042.0</v>
      </c>
      <c r="H142" s="4">
        <v>2083.0</v>
      </c>
      <c r="I142" s="4">
        <v>185.0</v>
      </c>
      <c r="J142" s="4">
        <v>360.0</v>
      </c>
      <c r="K142" s="4">
        <v>1.0</v>
      </c>
      <c r="L142" s="4" t="s">
        <v>21</v>
      </c>
      <c r="M142" s="4" t="s">
        <v>22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185</v>
      </c>
      <c r="B143" s="4" t="s">
        <v>14</v>
      </c>
      <c r="C143" s="4" t="s">
        <v>15</v>
      </c>
      <c r="D143" s="5">
        <v>0.0</v>
      </c>
      <c r="E143" s="4" t="s">
        <v>16</v>
      </c>
      <c r="F143" s="4" t="s">
        <v>15</v>
      </c>
      <c r="G143" s="4">
        <v>5417.0</v>
      </c>
      <c r="H143" s="4">
        <v>0.0</v>
      </c>
      <c r="I143" s="4">
        <v>168.0</v>
      </c>
      <c r="J143" s="4">
        <v>360.0</v>
      </c>
      <c r="K143" s="4">
        <v>1.0</v>
      </c>
      <c r="L143" s="4" t="s">
        <v>17</v>
      </c>
      <c r="M143" s="4" t="s">
        <v>18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186</v>
      </c>
      <c r="B144" s="4" t="s">
        <v>14</v>
      </c>
      <c r="C144" s="4" t="s">
        <v>15</v>
      </c>
      <c r="D144" s="5">
        <v>0.0</v>
      </c>
      <c r="E144" s="4" t="s">
        <v>16</v>
      </c>
      <c r="F144" s="4" t="s">
        <v>20</v>
      </c>
      <c r="G144" s="4">
        <v>6950.0</v>
      </c>
      <c r="H144" s="4">
        <v>0.0</v>
      </c>
      <c r="I144" s="4">
        <v>175.0</v>
      </c>
      <c r="J144" s="4">
        <v>180.0</v>
      </c>
      <c r="K144" s="4">
        <v>1.0</v>
      </c>
      <c r="L144" s="4" t="s">
        <v>33</v>
      </c>
      <c r="M144" s="4" t="s">
        <v>18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187</v>
      </c>
      <c r="B145" s="4" t="s">
        <v>14</v>
      </c>
      <c r="C145" s="4" t="s">
        <v>20</v>
      </c>
      <c r="D145" s="5">
        <v>0.0</v>
      </c>
      <c r="E145" s="4" t="s">
        <v>16</v>
      </c>
      <c r="F145" s="4" t="s">
        <v>15</v>
      </c>
      <c r="G145" s="4">
        <v>2698.0</v>
      </c>
      <c r="H145" s="4">
        <v>2034.0</v>
      </c>
      <c r="I145" s="4">
        <v>122.0</v>
      </c>
      <c r="J145" s="4">
        <v>360.0</v>
      </c>
      <c r="K145" s="4">
        <v>1.0</v>
      </c>
      <c r="L145" s="4" t="s">
        <v>33</v>
      </c>
      <c r="M145" s="4" t="s">
        <v>18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188</v>
      </c>
      <c r="B146" s="4" t="s">
        <v>14</v>
      </c>
      <c r="C146" s="4" t="s">
        <v>20</v>
      </c>
      <c r="D146" s="5">
        <v>2.0</v>
      </c>
      <c r="E146" s="4" t="s">
        <v>16</v>
      </c>
      <c r="F146" s="4" t="s">
        <v>15</v>
      </c>
      <c r="G146" s="4">
        <v>11757.0</v>
      </c>
      <c r="H146" s="4">
        <v>0.0</v>
      </c>
      <c r="I146" s="4">
        <v>187.0</v>
      </c>
      <c r="J146" s="4">
        <v>180.0</v>
      </c>
      <c r="K146" s="4">
        <v>1.0</v>
      </c>
      <c r="L146" s="4" t="s">
        <v>17</v>
      </c>
      <c r="M146" s="4" t="s">
        <v>18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189</v>
      </c>
      <c r="B147" s="4" t="s">
        <v>54</v>
      </c>
      <c r="C147" s="4" t="s">
        <v>20</v>
      </c>
      <c r="D147" s="5">
        <v>0.0</v>
      </c>
      <c r="E147" s="4" t="s">
        <v>16</v>
      </c>
      <c r="F147" s="4" t="s">
        <v>15</v>
      </c>
      <c r="G147" s="4">
        <v>2330.0</v>
      </c>
      <c r="H147" s="4">
        <v>4486.0</v>
      </c>
      <c r="I147" s="4">
        <v>100.0</v>
      </c>
      <c r="J147" s="4">
        <v>360.0</v>
      </c>
      <c r="K147" s="4">
        <v>1.0</v>
      </c>
      <c r="L147" s="4" t="s">
        <v>33</v>
      </c>
      <c r="M147" s="4" t="s">
        <v>18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190</v>
      </c>
      <c r="B148" s="4" t="s">
        <v>54</v>
      </c>
      <c r="C148" s="4" t="s">
        <v>20</v>
      </c>
      <c r="D148" s="5">
        <v>2.0</v>
      </c>
      <c r="E148" s="4" t="s">
        <v>16</v>
      </c>
      <c r="F148" s="4" t="s">
        <v>15</v>
      </c>
      <c r="G148" s="4">
        <v>14866.0</v>
      </c>
      <c r="H148" s="4">
        <v>0.0</v>
      </c>
      <c r="I148" s="4">
        <v>70.0</v>
      </c>
      <c r="J148" s="4">
        <v>360.0</v>
      </c>
      <c r="K148" s="4">
        <v>1.0</v>
      </c>
      <c r="L148" s="4" t="s">
        <v>17</v>
      </c>
      <c r="M148" s="4" t="s">
        <v>18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191</v>
      </c>
      <c r="B149" s="4" t="s">
        <v>14</v>
      </c>
      <c r="C149" s="4" t="s">
        <v>20</v>
      </c>
      <c r="D149" s="5">
        <v>1.0</v>
      </c>
      <c r="E149" s="4" t="s">
        <v>16</v>
      </c>
      <c r="F149" s="4" t="s">
        <v>15</v>
      </c>
      <c r="G149" s="4">
        <v>1538.0</v>
      </c>
      <c r="H149" s="4">
        <v>1425.0</v>
      </c>
      <c r="I149" s="4">
        <v>30.0</v>
      </c>
      <c r="J149" s="4">
        <v>360.0</v>
      </c>
      <c r="K149" s="4">
        <v>1.0</v>
      </c>
      <c r="L149" s="4" t="s">
        <v>17</v>
      </c>
      <c r="M149" s="4" t="s">
        <v>18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192</v>
      </c>
      <c r="B150" s="4" t="s">
        <v>54</v>
      </c>
      <c r="C150" s="4" t="s">
        <v>15</v>
      </c>
      <c r="D150" s="5">
        <v>0.0</v>
      </c>
      <c r="E150" s="4" t="s">
        <v>16</v>
      </c>
      <c r="F150" s="4" t="s">
        <v>15</v>
      </c>
      <c r="G150" s="4">
        <v>10000.0</v>
      </c>
      <c r="H150" s="4">
        <v>1666.0</v>
      </c>
      <c r="I150" s="4">
        <v>225.0</v>
      </c>
      <c r="J150" s="4">
        <v>360.0</v>
      </c>
      <c r="K150" s="4">
        <v>1.0</v>
      </c>
      <c r="L150" s="4" t="s">
        <v>21</v>
      </c>
      <c r="M150" s="4" t="s">
        <v>22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193</v>
      </c>
      <c r="B151" s="4" t="s">
        <v>14</v>
      </c>
      <c r="C151" s="4" t="s">
        <v>20</v>
      </c>
      <c r="D151" s="5">
        <v>0.0</v>
      </c>
      <c r="E151" s="4" t="s">
        <v>16</v>
      </c>
      <c r="F151" s="4" t="s">
        <v>15</v>
      </c>
      <c r="G151" s="4">
        <v>4860.0</v>
      </c>
      <c r="H151" s="4">
        <v>830.0</v>
      </c>
      <c r="I151" s="4">
        <v>125.0</v>
      </c>
      <c r="J151" s="4">
        <v>360.0</v>
      </c>
      <c r="K151" s="4">
        <v>1.0</v>
      </c>
      <c r="L151" s="4" t="s">
        <v>33</v>
      </c>
      <c r="M151" s="4" t="s">
        <v>18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194</v>
      </c>
      <c r="B152" s="4" t="s">
        <v>14</v>
      </c>
      <c r="C152" s="4" t="s">
        <v>15</v>
      </c>
      <c r="D152" s="5">
        <v>0.0</v>
      </c>
      <c r="E152" s="4" t="s">
        <v>16</v>
      </c>
      <c r="F152" s="4" t="s">
        <v>15</v>
      </c>
      <c r="G152" s="4">
        <v>6277.0</v>
      </c>
      <c r="H152" s="4">
        <v>0.0</v>
      </c>
      <c r="I152" s="4">
        <v>118.0</v>
      </c>
      <c r="J152" s="4">
        <v>360.0</v>
      </c>
      <c r="K152" s="4">
        <v>0.0</v>
      </c>
      <c r="L152" s="4" t="s">
        <v>21</v>
      </c>
      <c r="M152" s="4" t="s">
        <v>22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195</v>
      </c>
      <c r="B153" s="4" t="s">
        <v>14</v>
      </c>
      <c r="C153" s="4" t="s">
        <v>20</v>
      </c>
      <c r="D153" s="5">
        <v>0.0</v>
      </c>
      <c r="E153" s="4" t="s">
        <v>16</v>
      </c>
      <c r="F153" s="4" t="s">
        <v>20</v>
      </c>
      <c r="G153" s="4">
        <v>2577.0</v>
      </c>
      <c r="H153" s="4">
        <v>3750.0</v>
      </c>
      <c r="I153" s="4">
        <v>152.0</v>
      </c>
      <c r="J153" s="4">
        <v>360.0</v>
      </c>
      <c r="K153" s="4">
        <v>1.0</v>
      </c>
      <c r="L153" s="4" t="s">
        <v>21</v>
      </c>
      <c r="M153" s="4" t="s">
        <v>18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196</v>
      </c>
      <c r="B154" s="4" t="s">
        <v>14</v>
      </c>
      <c r="C154" s="4" t="s">
        <v>15</v>
      </c>
      <c r="D154" s="5">
        <v>0.0</v>
      </c>
      <c r="E154" s="4" t="s">
        <v>16</v>
      </c>
      <c r="F154" s="4" t="s">
        <v>15</v>
      </c>
      <c r="G154" s="4">
        <v>9166.0</v>
      </c>
      <c r="H154" s="4">
        <v>0.0</v>
      </c>
      <c r="I154" s="4">
        <v>244.0</v>
      </c>
      <c r="J154" s="4">
        <v>360.0</v>
      </c>
      <c r="K154" s="4">
        <v>1.0</v>
      </c>
      <c r="L154" s="4" t="s">
        <v>17</v>
      </c>
      <c r="M154" s="4" t="s">
        <v>22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197</v>
      </c>
      <c r="B155" s="4" t="s">
        <v>14</v>
      </c>
      <c r="C155" s="4" t="s">
        <v>20</v>
      </c>
      <c r="D155" s="5">
        <v>2.0</v>
      </c>
      <c r="E155" s="4" t="s">
        <v>25</v>
      </c>
      <c r="F155" s="4" t="s">
        <v>15</v>
      </c>
      <c r="G155" s="4">
        <v>2281.0</v>
      </c>
      <c r="H155" s="4">
        <v>0.0</v>
      </c>
      <c r="I155" s="4">
        <v>113.0</v>
      </c>
      <c r="J155" s="4">
        <v>360.0</v>
      </c>
      <c r="K155" s="4">
        <v>1.0</v>
      </c>
      <c r="L155" s="4" t="s">
        <v>21</v>
      </c>
      <c r="M155" s="4" t="s">
        <v>22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198</v>
      </c>
      <c r="B156" s="4" t="s">
        <v>14</v>
      </c>
      <c r="C156" s="4" t="s">
        <v>15</v>
      </c>
      <c r="D156" s="5">
        <v>0.0</v>
      </c>
      <c r="E156" s="4" t="s">
        <v>16</v>
      </c>
      <c r="F156" s="4" t="s">
        <v>15</v>
      </c>
      <c r="G156" s="4">
        <v>3254.0</v>
      </c>
      <c r="H156" s="4">
        <v>0.0</v>
      </c>
      <c r="I156" s="4">
        <v>50.0</v>
      </c>
      <c r="J156" s="4">
        <v>360.0</v>
      </c>
      <c r="K156" s="4">
        <v>1.0</v>
      </c>
      <c r="L156" s="4" t="s">
        <v>17</v>
      </c>
      <c r="M156" s="4" t="s">
        <v>18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199</v>
      </c>
      <c r="B157" s="4" t="s">
        <v>14</v>
      </c>
      <c r="C157" s="4" t="s">
        <v>20</v>
      </c>
      <c r="D157" s="5" t="s">
        <v>32</v>
      </c>
      <c r="E157" s="4" t="s">
        <v>16</v>
      </c>
      <c r="F157" s="4" t="s">
        <v>15</v>
      </c>
      <c r="G157" s="4">
        <v>39999.0</v>
      </c>
      <c r="H157" s="4">
        <v>0.0</v>
      </c>
      <c r="I157" s="4">
        <v>600.0</v>
      </c>
      <c r="J157" s="4">
        <v>180.0</v>
      </c>
      <c r="K157" s="4">
        <v>0.0</v>
      </c>
      <c r="L157" s="4" t="s">
        <v>33</v>
      </c>
      <c r="M157" s="4" t="s">
        <v>18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200</v>
      </c>
      <c r="B158" s="4" t="s">
        <v>14</v>
      </c>
      <c r="C158" s="4" t="s">
        <v>20</v>
      </c>
      <c r="D158" s="5">
        <v>1.0</v>
      </c>
      <c r="E158" s="4" t="s">
        <v>16</v>
      </c>
      <c r="F158" s="4" t="s">
        <v>15</v>
      </c>
      <c r="G158" s="4">
        <v>6000.0</v>
      </c>
      <c r="H158" s="4">
        <v>0.0</v>
      </c>
      <c r="I158" s="4">
        <v>160.0</v>
      </c>
      <c r="J158" s="4">
        <v>360.0</v>
      </c>
      <c r="K158" s="4">
        <v>1.0</v>
      </c>
      <c r="L158" s="4" t="s">
        <v>21</v>
      </c>
      <c r="M158" s="4" t="s">
        <v>18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201</v>
      </c>
      <c r="B159" s="4" t="s">
        <v>14</v>
      </c>
      <c r="C159" s="4" t="s">
        <v>20</v>
      </c>
      <c r="D159" s="5">
        <v>1.0</v>
      </c>
      <c r="E159" s="4" t="s">
        <v>16</v>
      </c>
      <c r="F159" s="4" t="s">
        <v>15</v>
      </c>
      <c r="G159" s="4">
        <v>9538.0</v>
      </c>
      <c r="H159" s="4">
        <v>0.0</v>
      </c>
      <c r="I159" s="4">
        <v>187.0</v>
      </c>
      <c r="J159" s="4">
        <v>360.0</v>
      </c>
      <c r="K159" s="4">
        <v>1.0</v>
      </c>
      <c r="L159" s="4" t="s">
        <v>17</v>
      </c>
      <c r="M159" s="4" t="s">
        <v>18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202</v>
      </c>
      <c r="B160" s="4" t="s">
        <v>14</v>
      </c>
      <c r="C160" s="4" t="s">
        <v>15</v>
      </c>
      <c r="D160" s="5">
        <v>0.0</v>
      </c>
      <c r="E160" s="4" t="s">
        <v>16</v>
      </c>
      <c r="F160" s="4" t="s">
        <v>15</v>
      </c>
      <c r="G160" s="4">
        <v>2980.0</v>
      </c>
      <c r="H160" s="4">
        <v>2083.0</v>
      </c>
      <c r="I160" s="4">
        <v>120.0</v>
      </c>
      <c r="J160" s="4">
        <v>360.0</v>
      </c>
      <c r="K160" s="4">
        <v>1.0</v>
      </c>
      <c r="L160" s="4" t="s">
        <v>21</v>
      </c>
      <c r="M160" s="4" t="s">
        <v>18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203</v>
      </c>
      <c r="B161" s="4" t="s">
        <v>14</v>
      </c>
      <c r="C161" s="4" t="s">
        <v>20</v>
      </c>
      <c r="D161" s="5">
        <v>0.0</v>
      </c>
      <c r="E161" s="4" t="s">
        <v>16</v>
      </c>
      <c r="F161" s="4" t="s">
        <v>15</v>
      </c>
      <c r="G161" s="4">
        <v>4583.0</v>
      </c>
      <c r="H161" s="4">
        <v>5625.0</v>
      </c>
      <c r="I161" s="4">
        <v>255.0</v>
      </c>
      <c r="J161" s="4">
        <v>360.0</v>
      </c>
      <c r="K161" s="4">
        <v>1.0</v>
      </c>
      <c r="L161" s="4" t="s">
        <v>33</v>
      </c>
      <c r="M161" s="4" t="s">
        <v>18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204</v>
      </c>
      <c r="B162" s="4" t="s">
        <v>14</v>
      </c>
      <c r="C162" s="4" t="s">
        <v>20</v>
      </c>
      <c r="D162" s="5">
        <v>0.0</v>
      </c>
      <c r="E162" s="4" t="s">
        <v>25</v>
      </c>
      <c r="F162" s="4" t="s">
        <v>15</v>
      </c>
      <c r="G162" s="4">
        <v>1863.0</v>
      </c>
      <c r="H162" s="4">
        <v>1041.0</v>
      </c>
      <c r="I162" s="4">
        <v>98.0</v>
      </c>
      <c r="J162" s="4">
        <v>360.0</v>
      </c>
      <c r="K162" s="4">
        <v>1.0</v>
      </c>
      <c r="L162" s="4" t="s">
        <v>33</v>
      </c>
      <c r="M162" s="4" t="s">
        <v>18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205</v>
      </c>
      <c r="B163" s="4" t="s">
        <v>14</v>
      </c>
      <c r="C163" s="4" t="s">
        <v>20</v>
      </c>
      <c r="D163" s="5">
        <v>0.0</v>
      </c>
      <c r="E163" s="4" t="s">
        <v>16</v>
      </c>
      <c r="F163" s="4" t="s">
        <v>15</v>
      </c>
      <c r="G163" s="4">
        <v>7933.0</v>
      </c>
      <c r="H163" s="4">
        <v>0.0</v>
      </c>
      <c r="I163" s="4">
        <v>275.0</v>
      </c>
      <c r="J163" s="4">
        <v>360.0</v>
      </c>
      <c r="K163" s="4">
        <v>1.0</v>
      </c>
      <c r="L163" s="4" t="s">
        <v>17</v>
      </c>
      <c r="M163" s="4" t="s">
        <v>22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206</v>
      </c>
      <c r="B164" s="4" t="s">
        <v>14</v>
      </c>
      <c r="C164" s="4" t="s">
        <v>20</v>
      </c>
      <c r="D164" s="5">
        <v>1.0</v>
      </c>
      <c r="E164" s="4" t="s">
        <v>16</v>
      </c>
      <c r="F164" s="4" t="s">
        <v>15</v>
      </c>
      <c r="G164" s="4">
        <v>3089.0</v>
      </c>
      <c r="H164" s="4">
        <v>1280.0</v>
      </c>
      <c r="I164" s="4">
        <v>121.0</v>
      </c>
      <c r="J164" s="4">
        <v>360.0</v>
      </c>
      <c r="K164" s="4">
        <v>0.0</v>
      </c>
      <c r="L164" s="4" t="s">
        <v>33</v>
      </c>
      <c r="M164" s="4" t="s">
        <v>22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207</v>
      </c>
      <c r="B165" s="4" t="s">
        <v>14</v>
      </c>
      <c r="C165" s="4" t="s">
        <v>20</v>
      </c>
      <c r="D165" s="5">
        <v>2.0</v>
      </c>
      <c r="E165" s="4" t="s">
        <v>16</v>
      </c>
      <c r="F165" s="4" t="s">
        <v>15</v>
      </c>
      <c r="G165" s="4">
        <v>4167.0</v>
      </c>
      <c r="H165" s="4">
        <v>1447.0</v>
      </c>
      <c r="I165" s="4">
        <v>158.0</v>
      </c>
      <c r="J165" s="4">
        <v>360.0</v>
      </c>
      <c r="K165" s="4">
        <v>1.0</v>
      </c>
      <c r="L165" s="4" t="s">
        <v>21</v>
      </c>
      <c r="M165" s="4" t="s">
        <v>18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208</v>
      </c>
      <c r="B166" s="4" t="s">
        <v>14</v>
      </c>
      <c r="C166" s="4" t="s">
        <v>20</v>
      </c>
      <c r="D166" s="5">
        <v>0.0</v>
      </c>
      <c r="E166" s="4" t="s">
        <v>16</v>
      </c>
      <c r="F166" s="4" t="s">
        <v>15</v>
      </c>
      <c r="G166" s="4">
        <v>9323.0</v>
      </c>
      <c r="H166" s="4">
        <v>0.0</v>
      </c>
      <c r="I166" s="4">
        <v>75.0</v>
      </c>
      <c r="J166" s="4">
        <v>180.0</v>
      </c>
      <c r="K166" s="4">
        <v>1.0</v>
      </c>
      <c r="L166" s="4" t="s">
        <v>17</v>
      </c>
      <c r="M166" s="4" t="s">
        <v>18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209</v>
      </c>
      <c r="B167" s="4" t="s">
        <v>14</v>
      </c>
      <c r="C167" s="4" t="s">
        <v>20</v>
      </c>
      <c r="D167" s="5">
        <v>0.0</v>
      </c>
      <c r="E167" s="4" t="s">
        <v>16</v>
      </c>
      <c r="F167" s="4" t="s">
        <v>15</v>
      </c>
      <c r="G167" s="4">
        <v>3707.0</v>
      </c>
      <c r="H167" s="4">
        <v>3166.0</v>
      </c>
      <c r="I167" s="4">
        <v>182.0</v>
      </c>
      <c r="J167" s="4">
        <v>360.0</v>
      </c>
      <c r="K167" s="4">
        <v>1.0</v>
      </c>
      <c r="L167" s="4" t="s">
        <v>21</v>
      </c>
      <c r="M167" s="4" t="s">
        <v>18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210</v>
      </c>
      <c r="B168" s="4" t="s">
        <v>54</v>
      </c>
      <c r="C168" s="4" t="s">
        <v>20</v>
      </c>
      <c r="D168" s="5">
        <v>0.0</v>
      </c>
      <c r="E168" s="4" t="s">
        <v>16</v>
      </c>
      <c r="F168" s="4" t="s">
        <v>15</v>
      </c>
      <c r="G168" s="4">
        <v>4583.0</v>
      </c>
      <c r="H168" s="4">
        <v>0.0</v>
      </c>
      <c r="I168" s="4">
        <v>112.0</v>
      </c>
      <c r="J168" s="4">
        <v>360.0</v>
      </c>
      <c r="K168" s="4">
        <v>1.0</v>
      </c>
      <c r="L168" s="4" t="s">
        <v>21</v>
      </c>
      <c r="M168" s="4" t="s">
        <v>22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211</v>
      </c>
      <c r="B169" s="4" t="s">
        <v>14</v>
      </c>
      <c r="C169" s="4" t="s">
        <v>20</v>
      </c>
      <c r="D169" s="5">
        <v>0.0</v>
      </c>
      <c r="E169" s="4" t="s">
        <v>16</v>
      </c>
      <c r="F169" s="4" t="s">
        <v>15</v>
      </c>
      <c r="G169" s="4">
        <v>2439.0</v>
      </c>
      <c r="H169" s="4">
        <v>3333.0</v>
      </c>
      <c r="I169" s="4">
        <v>129.0</v>
      </c>
      <c r="J169" s="4">
        <v>360.0</v>
      </c>
      <c r="K169" s="4">
        <v>1.0</v>
      </c>
      <c r="L169" s="4" t="s">
        <v>21</v>
      </c>
      <c r="M169" s="4" t="s">
        <v>18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212</v>
      </c>
      <c r="B170" s="4" t="s">
        <v>14</v>
      </c>
      <c r="C170" s="4" t="s">
        <v>15</v>
      </c>
      <c r="D170" s="5">
        <v>0.0</v>
      </c>
      <c r="E170" s="4" t="s">
        <v>16</v>
      </c>
      <c r="F170" s="4" t="s">
        <v>15</v>
      </c>
      <c r="G170" s="4">
        <v>2237.0</v>
      </c>
      <c r="H170" s="4">
        <v>0.0</v>
      </c>
      <c r="I170" s="4">
        <v>63.0</v>
      </c>
      <c r="J170" s="4">
        <v>480.0</v>
      </c>
      <c r="K170" s="4">
        <v>0.0</v>
      </c>
      <c r="L170" s="4" t="s">
        <v>33</v>
      </c>
      <c r="M170" s="4" t="s">
        <v>22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213</v>
      </c>
      <c r="B171" s="4" t="s">
        <v>14</v>
      </c>
      <c r="C171" s="4" t="s">
        <v>20</v>
      </c>
      <c r="D171" s="5">
        <v>2.0</v>
      </c>
      <c r="E171" s="4" t="s">
        <v>16</v>
      </c>
      <c r="F171" s="4" t="s">
        <v>15</v>
      </c>
      <c r="G171" s="4">
        <v>8000.0</v>
      </c>
      <c r="H171" s="4">
        <v>0.0</v>
      </c>
      <c r="I171" s="4">
        <v>200.0</v>
      </c>
      <c r="J171" s="4">
        <v>360.0</v>
      </c>
      <c r="K171" s="4">
        <v>1.0</v>
      </c>
      <c r="L171" s="4" t="s">
        <v>33</v>
      </c>
      <c r="M171" s="4" t="s">
        <v>18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214</v>
      </c>
      <c r="B172" s="4" t="s">
        <v>14</v>
      </c>
      <c r="C172" s="4" t="s">
        <v>20</v>
      </c>
      <c r="D172" s="5">
        <v>0.0</v>
      </c>
      <c r="E172" s="4" t="s">
        <v>25</v>
      </c>
      <c r="F172" s="4" t="s">
        <v>15</v>
      </c>
      <c r="G172" s="4">
        <v>1820.0</v>
      </c>
      <c r="H172" s="4">
        <v>1769.0</v>
      </c>
      <c r="I172" s="4">
        <v>95.0</v>
      </c>
      <c r="J172" s="4">
        <v>360.0</v>
      </c>
      <c r="K172" s="4">
        <v>1.0</v>
      </c>
      <c r="L172" s="4" t="s">
        <v>21</v>
      </c>
      <c r="M172" s="4" t="s">
        <v>18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215</v>
      </c>
      <c r="B173" s="4" t="s">
        <v>14</v>
      </c>
      <c r="C173" s="4" t="s">
        <v>20</v>
      </c>
      <c r="D173" s="5" t="s">
        <v>32</v>
      </c>
      <c r="E173" s="4" t="s">
        <v>16</v>
      </c>
      <c r="F173" s="4" t="s">
        <v>15</v>
      </c>
      <c r="G173" s="4">
        <v>51763.0</v>
      </c>
      <c r="H173" s="4">
        <v>0.0</v>
      </c>
      <c r="I173" s="4">
        <v>700.0</v>
      </c>
      <c r="J173" s="4">
        <v>300.0</v>
      </c>
      <c r="K173" s="4">
        <v>1.0</v>
      </c>
      <c r="L173" s="4" t="s">
        <v>17</v>
      </c>
      <c r="M173" s="4" t="s">
        <v>18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216</v>
      </c>
      <c r="B174" s="4" t="s">
        <v>14</v>
      </c>
      <c r="C174" s="4" t="s">
        <v>20</v>
      </c>
      <c r="D174" s="5" t="s">
        <v>32</v>
      </c>
      <c r="E174" s="4" t="s">
        <v>25</v>
      </c>
      <c r="F174" s="4" t="s">
        <v>15</v>
      </c>
      <c r="G174" s="4">
        <v>3522.0</v>
      </c>
      <c r="H174" s="4">
        <v>0.0</v>
      </c>
      <c r="I174" s="4">
        <v>81.0</v>
      </c>
      <c r="J174" s="4">
        <v>180.0</v>
      </c>
      <c r="K174" s="4">
        <v>1.0</v>
      </c>
      <c r="L174" s="4" t="s">
        <v>21</v>
      </c>
      <c r="M174" s="4" t="s">
        <v>22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217</v>
      </c>
      <c r="B175" s="4" t="s">
        <v>14</v>
      </c>
      <c r="C175" s="4" t="s">
        <v>20</v>
      </c>
      <c r="D175" s="5">
        <v>0.0</v>
      </c>
      <c r="E175" s="4" t="s">
        <v>16</v>
      </c>
      <c r="F175" s="4" t="s">
        <v>15</v>
      </c>
      <c r="G175" s="4">
        <v>5708.0</v>
      </c>
      <c r="H175" s="4">
        <v>5625.0</v>
      </c>
      <c r="I175" s="4">
        <v>187.0</v>
      </c>
      <c r="J175" s="4">
        <v>360.0</v>
      </c>
      <c r="K175" s="4">
        <v>1.0</v>
      </c>
      <c r="L175" s="4" t="s">
        <v>33</v>
      </c>
      <c r="M175" s="4" t="s">
        <v>18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218</v>
      </c>
      <c r="B176" s="4" t="s">
        <v>14</v>
      </c>
      <c r="C176" s="4" t="s">
        <v>20</v>
      </c>
      <c r="D176" s="5">
        <v>0.0</v>
      </c>
      <c r="E176" s="4" t="s">
        <v>25</v>
      </c>
      <c r="F176" s="4" t="s">
        <v>20</v>
      </c>
      <c r="G176" s="4">
        <v>4344.0</v>
      </c>
      <c r="H176" s="4">
        <v>736.0</v>
      </c>
      <c r="I176" s="4">
        <v>87.0</v>
      </c>
      <c r="J176" s="4">
        <v>360.0</v>
      </c>
      <c r="K176" s="4">
        <v>1.0</v>
      </c>
      <c r="L176" s="4" t="s">
        <v>33</v>
      </c>
      <c r="M176" s="4" t="s">
        <v>22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219</v>
      </c>
      <c r="B177" s="4" t="s">
        <v>14</v>
      </c>
      <c r="C177" s="4" t="s">
        <v>20</v>
      </c>
      <c r="D177" s="5">
        <v>0.0</v>
      </c>
      <c r="E177" s="4" t="s">
        <v>16</v>
      </c>
      <c r="F177" s="4" t="s">
        <v>15</v>
      </c>
      <c r="G177" s="4">
        <v>3497.0</v>
      </c>
      <c r="H177" s="4">
        <v>1964.0</v>
      </c>
      <c r="I177" s="4">
        <v>116.0</v>
      </c>
      <c r="J177" s="4">
        <v>360.0</v>
      </c>
      <c r="K177" s="4">
        <v>1.0</v>
      </c>
      <c r="L177" s="4" t="s">
        <v>21</v>
      </c>
      <c r="M177" s="4" t="s">
        <v>18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220</v>
      </c>
      <c r="B178" s="4" t="s">
        <v>14</v>
      </c>
      <c r="C178" s="4" t="s">
        <v>20</v>
      </c>
      <c r="D178" s="5">
        <v>2.0</v>
      </c>
      <c r="E178" s="4" t="s">
        <v>16</v>
      </c>
      <c r="F178" s="4" t="s">
        <v>15</v>
      </c>
      <c r="G178" s="4">
        <v>2045.0</v>
      </c>
      <c r="H178" s="4">
        <v>1619.0</v>
      </c>
      <c r="I178" s="4">
        <v>101.0</v>
      </c>
      <c r="J178" s="4">
        <v>360.0</v>
      </c>
      <c r="K178" s="4">
        <v>1.0</v>
      </c>
      <c r="L178" s="4" t="s">
        <v>21</v>
      </c>
      <c r="M178" s="4" t="s">
        <v>18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221</v>
      </c>
      <c r="B179" s="4" t="s">
        <v>14</v>
      </c>
      <c r="C179" s="4" t="s">
        <v>20</v>
      </c>
      <c r="D179" s="5" t="s">
        <v>32</v>
      </c>
      <c r="E179" s="4" t="s">
        <v>16</v>
      </c>
      <c r="F179" s="4" t="s">
        <v>15</v>
      </c>
      <c r="G179" s="4">
        <v>5516.0</v>
      </c>
      <c r="H179" s="4">
        <v>11300.0</v>
      </c>
      <c r="I179" s="4">
        <v>495.0</v>
      </c>
      <c r="J179" s="4">
        <v>360.0</v>
      </c>
      <c r="K179" s="4">
        <v>0.0</v>
      </c>
      <c r="L179" s="4" t="s">
        <v>33</v>
      </c>
      <c r="M179" s="4" t="s">
        <v>22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222</v>
      </c>
      <c r="B180" s="4" t="s">
        <v>14</v>
      </c>
      <c r="C180" s="4" t="s">
        <v>20</v>
      </c>
      <c r="D180" s="5">
        <v>1.0</v>
      </c>
      <c r="E180" s="4" t="s">
        <v>16</v>
      </c>
      <c r="F180" s="4" t="s">
        <v>15</v>
      </c>
      <c r="G180" s="4">
        <v>3750.0</v>
      </c>
      <c r="H180" s="4">
        <v>0.0</v>
      </c>
      <c r="I180" s="4">
        <v>116.0</v>
      </c>
      <c r="J180" s="4">
        <v>360.0</v>
      </c>
      <c r="K180" s="4">
        <v>1.0</v>
      </c>
      <c r="L180" s="4" t="s">
        <v>33</v>
      </c>
      <c r="M180" s="4" t="s">
        <v>18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223</v>
      </c>
      <c r="B181" s="4" t="s">
        <v>14</v>
      </c>
      <c r="C181" s="4" t="s">
        <v>15</v>
      </c>
      <c r="D181" s="5">
        <v>0.0</v>
      </c>
      <c r="E181" s="4" t="s">
        <v>25</v>
      </c>
      <c r="F181" s="4" t="s">
        <v>15</v>
      </c>
      <c r="G181" s="4">
        <v>2333.0</v>
      </c>
      <c r="H181" s="4">
        <v>1451.0</v>
      </c>
      <c r="I181" s="4">
        <v>102.0</v>
      </c>
      <c r="J181" s="4">
        <v>480.0</v>
      </c>
      <c r="K181" s="4">
        <v>0.0</v>
      </c>
      <c r="L181" s="4" t="s">
        <v>17</v>
      </c>
      <c r="M181" s="4" t="s">
        <v>22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224</v>
      </c>
      <c r="B182" s="4" t="s">
        <v>14</v>
      </c>
      <c r="C182" s="4" t="s">
        <v>20</v>
      </c>
      <c r="D182" s="5">
        <v>1.0</v>
      </c>
      <c r="E182" s="4" t="s">
        <v>16</v>
      </c>
      <c r="F182" s="4" t="s">
        <v>15</v>
      </c>
      <c r="G182" s="4">
        <v>6400.0</v>
      </c>
      <c r="H182" s="4">
        <v>7250.0</v>
      </c>
      <c r="I182" s="4">
        <v>180.0</v>
      </c>
      <c r="J182" s="4">
        <v>360.0</v>
      </c>
      <c r="K182" s="4">
        <v>0.0</v>
      </c>
      <c r="L182" s="4" t="s">
        <v>17</v>
      </c>
      <c r="M182" s="4" t="s">
        <v>22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225</v>
      </c>
      <c r="B183" s="4" t="s">
        <v>14</v>
      </c>
      <c r="C183" s="4" t="s">
        <v>15</v>
      </c>
      <c r="D183" s="5">
        <v>0.0</v>
      </c>
      <c r="E183" s="4" t="s">
        <v>16</v>
      </c>
      <c r="F183" s="4" t="s">
        <v>15</v>
      </c>
      <c r="G183" s="4">
        <v>1916.0</v>
      </c>
      <c r="H183" s="4">
        <v>5063.0</v>
      </c>
      <c r="I183" s="4">
        <v>67.0</v>
      </c>
      <c r="J183" s="4">
        <v>360.0</v>
      </c>
      <c r="K183" s="4">
        <v>1.0</v>
      </c>
      <c r="L183" s="4" t="s">
        <v>21</v>
      </c>
      <c r="M183" s="4" t="s">
        <v>22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226</v>
      </c>
      <c r="B184" s="4" t="s">
        <v>14</v>
      </c>
      <c r="C184" s="4" t="s">
        <v>20</v>
      </c>
      <c r="D184" s="5">
        <v>0.0</v>
      </c>
      <c r="E184" s="4" t="s">
        <v>16</v>
      </c>
      <c r="F184" s="4" t="s">
        <v>15</v>
      </c>
      <c r="G184" s="4">
        <v>4600.0</v>
      </c>
      <c r="H184" s="4">
        <v>0.0</v>
      </c>
      <c r="I184" s="4">
        <v>73.0</v>
      </c>
      <c r="J184" s="4">
        <v>180.0</v>
      </c>
      <c r="K184" s="4">
        <v>1.0</v>
      </c>
      <c r="L184" s="4" t="s">
        <v>33</v>
      </c>
      <c r="M184" s="4" t="s">
        <v>18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227</v>
      </c>
      <c r="B185" s="4" t="s">
        <v>14</v>
      </c>
      <c r="C185" s="4" t="s">
        <v>20</v>
      </c>
      <c r="D185" s="5">
        <v>1.0</v>
      </c>
      <c r="E185" s="4" t="s">
        <v>16</v>
      </c>
      <c r="F185" s="4" t="s">
        <v>15</v>
      </c>
      <c r="G185" s="4">
        <v>33846.0</v>
      </c>
      <c r="H185" s="4">
        <v>0.0</v>
      </c>
      <c r="I185" s="4">
        <v>260.0</v>
      </c>
      <c r="J185" s="4">
        <v>360.0</v>
      </c>
      <c r="K185" s="4">
        <v>1.0</v>
      </c>
      <c r="L185" s="4" t="s">
        <v>33</v>
      </c>
      <c r="M185" s="4" t="s">
        <v>22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228</v>
      </c>
      <c r="B186" s="4" t="s">
        <v>54</v>
      </c>
      <c r="C186" s="4" t="s">
        <v>20</v>
      </c>
      <c r="D186" s="5">
        <v>0.0</v>
      </c>
      <c r="E186" s="4" t="s">
        <v>16</v>
      </c>
      <c r="F186" s="4" t="s">
        <v>15</v>
      </c>
      <c r="G186" s="4">
        <v>3625.0</v>
      </c>
      <c r="H186" s="4">
        <v>0.0</v>
      </c>
      <c r="I186" s="4">
        <v>108.0</v>
      </c>
      <c r="J186" s="4">
        <v>360.0</v>
      </c>
      <c r="K186" s="4">
        <v>1.0</v>
      </c>
      <c r="L186" s="4" t="s">
        <v>33</v>
      </c>
      <c r="M186" s="4" t="s">
        <v>18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229</v>
      </c>
      <c r="B187" s="4" t="s">
        <v>14</v>
      </c>
      <c r="C187" s="4" t="s">
        <v>20</v>
      </c>
      <c r="D187" s="5">
        <v>0.0</v>
      </c>
      <c r="E187" s="4" t="s">
        <v>16</v>
      </c>
      <c r="F187" s="4" t="s">
        <v>20</v>
      </c>
      <c r="G187" s="4">
        <v>39147.0</v>
      </c>
      <c r="H187" s="4">
        <v>4750.0</v>
      </c>
      <c r="I187" s="4">
        <v>120.0</v>
      </c>
      <c r="J187" s="4">
        <v>360.0</v>
      </c>
      <c r="K187" s="4">
        <v>1.0</v>
      </c>
      <c r="L187" s="4" t="s">
        <v>33</v>
      </c>
      <c r="M187" s="4" t="s">
        <v>18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230</v>
      </c>
      <c r="B188" s="4" t="s">
        <v>14</v>
      </c>
      <c r="C188" s="4" t="s">
        <v>20</v>
      </c>
      <c r="D188" s="5">
        <v>1.0</v>
      </c>
      <c r="E188" s="4" t="s">
        <v>16</v>
      </c>
      <c r="F188" s="4" t="s">
        <v>20</v>
      </c>
      <c r="G188" s="4">
        <v>2178.0</v>
      </c>
      <c r="H188" s="4">
        <v>0.0</v>
      </c>
      <c r="I188" s="4">
        <v>66.0</v>
      </c>
      <c r="J188" s="4">
        <v>300.0</v>
      </c>
      <c r="K188" s="4">
        <v>0.0</v>
      </c>
      <c r="L188" s="4" t="s">
        <v>21</v>
      </c>
      <c r="M188" s="4" t="s">
        <v>22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231</v>
      </c>
      <c r="B189" s="4" t="s">
        <v>14</v>
      </c>
      <c r="C189" s="4" t="s">
        <v>20</v>
      </c>
      <c r="D189" s="5">
        <v>0.0</v>
      </c>
      <c r="E189" s="4" t="s">
        <v>16</v>
      </c>
      <c r="F189" s="4" t="s">
        <v>15</v>
      </c>
      <c r="G189" s="4">
        <v>2383.0</v>
      </c>
      <c r="H189" s="4">
        <v>2138.0</v>
      </c>
      <c r="I189" s="4">
        <v>58.0</v>
      </c>
      <c r="J189" s="4">
        <v>360.0</v>
      </c>
      <c r="K189" s="4">
        <v>1.0</v>
      </c>
      <c r="L189" s="4" t="s">
        <v>21</v>
      </c>
      <c r="M189" s="4" t="s">
        <v>18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232</v>
      </c>
      <c r="B190" s="4" t="s">
        <v>14</v>
      </c>
      <c r="C190" s="4" t="s">
        <v>20</v>
      </c>
      <c r="D190" s="5">
        <v>0.0</v>
      </c>
      <c r="E190" s="4" t="s">
        <v>16</v>
      </c>
      <c r="F190" s="4" t="s">
        <v>20</v>
      </c>
      <c r="G190" s="4">
        <v>674.0</v>
      </c>
      <c r="H190" s="4">
        <v>5296.0</v>
      </c>
      <c r="I190" s="4">
        <v>168.0</v>
      </c>
      <c r="J190" s="4">
        <v>360.0</v>
      </c>
      <c r="K190" s="4">
        <v>1.0</v>
      </c>
      <c r="L190" s="4" t="s">
        <v>21</v>
      </c>
      <c r="M190" s="4" t="s">
        <v>18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233</v>
      </c>
      <c r="B191" s="4" t="s">
        <v>14</v>
      </c>
      <c r="C191" s="4" t="s">
        <v>20</v>
      </c>
      <c r="D191" s="5">
        <v>0.0</v>
      </c>
      <c r="E191" s="4" t="s">
        <v>16</v>
      </c>
      <c r="F191" s="4" t="s">
        <v>15</v>
      </c>
      <c r="G191" s="4">
        <v>9328.0</v>
      </c>
      <c r="H191" s="4">
        <v>0.0</v>
      </c>
      <c r="I191" s="4">
        <v>188.0</v>
      </c>
      <c r="J191" s="4">
        <v>180.0</v>
      </c>
      <c r="K191" s="4">
        <v>1.0</v>
      </c>
      <c r="L191" s="4" t="s">
        <v>21</v>
      </c>
      <c r="M191" s="4" t="s">
        <v>18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234</v>
      </c>
      <c r="B192" s="4" t="s">
        <v>14</v>
      </c>
      <c r="C192" s="4" t="s">
        <v>15</v>
      </c>
      <c r="D192" s="5">
        <v>0.0</v>
      </c>
      <c r="E192" s="4" t="s">
        <v>25</v>
      </c>
      <c r="F192" s="4" t="s">
        <v>15</v>
      </c>
      <c r="G192" s="4">
        <v>4885.0</v>
      </c>
      <c r="H192" s="4">
        <v>0.0</v>
      </c>
      <c r="I192" s="4">
        <v>48.0</v>
      </c>
      <c r="J192" s="4">
        <v>360.0</v>
      </c>
      <c r="K192" s="4">
        <v>1.0</v>
      </c>
      <c r="L192" s="4" t="s">
        <v>21</v>
      </c>
      <c r="M192" s="4" t="s">
        <v>18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235</v>
      </c>
      <c r="B193" s="4" t="s">
        <v>14</v>
      </c>
      <c r="C193" s="4" t="s">
        <v>15</v>
      </c>
      <c r="D193" s="5">
        <v>0.0</v>
      </c>
      <c r="E193" s="4" t="s">
        <v>16</v>
      </c>
      <c r="F193" s="4" t="s">
        <v>15</v>
      </c>
      <c r="G193" s="4">
        <v>12000.0</v>
      </c>
      <c r="H193" s="4">
        <v>0.0</v>
      </c>
      <c r="I193" s="4">
        <v>164.0</v>
      </c>
      <c r="J193" s="4">
        <v>360.0</v>
      </c>
      <c r="K193" s="4">
        <v>1.0</v>
      </c>
      <c r="L193" s="4" t="s">
        <v>33</v>
      </c>
      <c r="M193" s="4" t="s">
        <v>22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236</v>
      </c>
      <c r="B194" s="4" t="s">
        <v>14</v>
      </c>
      <c r="C194" s="4" t="s">
        <v>20</v>
      </c>
      <c r="D194" s="5">
        <v>0.0</v>
      </c>
      <c r="E194" s="4" t="s">
        <v>25</v>
      </c>
      <c r="F194" s="4" t="s">
        <v>15</v>
      </c>
      <c r="G194" s="4">
        <v>6033.0</v>
      </c>
      <c r="H194" s="4">
        <v>0.0</v>
      </c>
      <c r="I194" s="4">
        <v>160.0</v>
      </c>
      <c r="J194" s="4">
        <v>360.0</v>
      </c>
      <c r="K194" s="4">
        <v>1.0</v>
      </c>
      <c r="L194" s="4" t="s">
        <v>17</v>
      </c>
      <c r="M194" s="4" t="s">
        <v>22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237</v>
      </c>
      <c r="B195" s="4" t="s">
        <v>14</v>
      </c>
      <c r="C195" s="4" t="s">
        <v>15</v>
      </c>
      <c r="D195" s="5">
        <v>0.0</v>
      </c>
      <c r="E195" s="4" t="s">
        <v>16</v>
      </c>
      <c r="F195" s="4" t="s">
        <v>15</v>
      </c>
      <c r="G195" s="4">
        <v>3858.0</v>
      </c>
      <c r="H195" s="4">
        <v>0.0</v>
      </c>
      <c r="I195" s="4">
        <v>76.0</v>
      </c>
      <c r="J195" s="4">
        <v>360.0</v>
      </c>
      <c r="K195" s="4">
        <v>1.0</v>
      </c>
      <c r="L195" s="4" t="s">
        <v>33</v>
      </c>
      <c r="M195" s="4" t="s">
        <v>18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238</v>
      </c>
      <c r="B196" s="4" t="s">
        <v>14</v>
      </c>
      <c r="C196" s="4" t="s">
        <v>15</v>
      </c>
      <c r="D196" s="5">
        <v>0.0</v>
      </c>
      <c r="E196" s="4" t="s">
        <v>16</v>
      </c>
      <c r="F196" s="4" t="s">
        <v>15</v>
      </c>
      <c r="G196" s="4">
        <v>4191.0</v>
      </c>
      <c r="H196" s="4">
        <v>0.0</v>
      </c>
      <c r="I196" s="4">
        <v>120.0</v>
      </c>
      <c r="J196" s="4">
        <v>360.0</v>
      </c>
      <c r="K196" s="4">
        <v>1.0</v>
      </c>
      <c r="L196" s="4" t="s">
        <v>21</v>
      </c>
      <c r="M196" s="4" t="s">
        <v>18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239</v>
      </c>
      <c r="B197" s="4" t="s">
        <v>14</v>
      </c>
      <c r="C197" s="4" t="s">
        <v>20</v>
      </c>
      <c r="D197" s="5">
        <v>1.0</v>
      </c>
      <c r="E197" s="4" t="s">
        <v>16</v>
      </c>
      <c r="F197" s="4" t="s">
        <v>15</v>
      </c>
      <c r="G197" s="4">
        <v>3125.0</v>
      </c>
      <c r="H197" s="4">
        <v>2583.0</v>
      </c>
      <c r="I197" s="4">
        <v>170.0</v>
      </c>
      <c r="J197" s="4">
        <v>360.0</v>
      </c>
      <c r="K197" s="4">
        <v>1.0</v>
      </c>
      <c r="L197" s="4" t="s">
        <v>33</v>
      </c>
      <c r="M197" s="4" t="s">
        <v>22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240</v>
      </c>
      <c r="B198" s="4" t="s">
        <v>14</v>
      </c>
      <c r="C198" s="4" t="s">
        <v>15</v>
      </c>
      <c r="D198" s="5">
        <v>0.0</v>
      </c>
      <c r="E198" s="4" t="s">
        <v>16</v>
      </c>
      <c r="F198" s="4" t="s">
        <v>15</v>
      </c>
      <c r="G198" s="4">
        <v>8333.0</v>
      </c>
      <c r="H198" s="4">
        <v>3750.0</v>
      </c>
      <c r="I198" s="4">
        <v>187.0</v>
      </c>
      <c r="J198" s="4">
        <v>360.0</v>
      </c>
      <c r="K198" s="4">
        <v>1.0</v>
      </c>
      <c r="L198" s="4" t="s">
        <v>21</v>
      </c>
      <c r="M198" s="4" t="s">
        <v>18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241</v>
      </c>
      <c r="B199" s="4" t="s">
        <v>54</v>
      </c>
      <c r="C199" s="4" t="s">
        <v>15</v>
      </c>
      <c r="D199" s="5">
        <v>0.0</v>
      </c>
      <c r="E199" s="4" t="s">
        <v>25</v>
      </c>
      <c r="F199" s="4" t="s">
        <v>15</v>
      </c>
      <c r="G199" s="4">
        <v>1907.0</v>
      </c>
      <c r="H199" s="4">
        <v>2365.0</v>
      </c>
      <c r="I199" s="4">
        <v>120.0</v>
      </c>
      <c r="J199" s="4">
        <v>360.0</v>
      </c>
      <c r="K199" s="4">
        <v>1.0</v>
      </c>
      <c r="L199" s="4" t="s">
        <v>17</v>
      </c>
      <c r="M199" s="4" t="s">
        <v>18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242</v>
      </c>
      <c r="B200" s="4" t="s">
        <v>54</v>
      </c>
      <c r="C200" s="4" t="s">
        <v>20</v>
      </c>
      <c r="D200" s="5">
        <v>0.0</v>
      </c>
      <c r="E200" s="4" t="s">
        <v>16</v>
      </c>
      <c r="F200" s="4" t="s">
        <v>15</v>
      </c>
      <c r="G200" s="4">
        <v>3416.0</v>
      </c>
      <c r="H200" s="4">
        <v>2816.0</v>
      </c>
      <c r="I200" s="4">
        <v>113.0</v>
      </c>
      <c r="J200" s="4">
        <v>360.0</v>
      </c>
      <c r="K200" s="4">
        <v>1.0</v>
      </c>
      <c r="L200" s="4" t="s">
        <v>33</v>
      </c>
      <c r="M200" s="4" t="s">
        <v>18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243</v>
      </c>
      <c r="B201" s="4" t="s">
        <v>14</v>
      </c>
      <c r="C201" s="4" t="s">
        <v>15</v>
      </c>
      <c r="D201" s="5">
        <v>0.0</v>
      </c>
      <c r="E201" s="4" t="s">
        <v>16</v>
      </c>
      <c r="F201" s="4" t="s">
        <v>20</v>
      </c>
      <c r="G201" s="4">
        <v>11000.0</v>
      </c>
      <c r="H201" s="4">
        <v>0.0</v>
      </c>
      <c r="I201" s="4">
        <v>83.0</v>
      </c>
      <c r="J201" s="4">
        <v>360.0</v>
      </c>
      <c r="K201" s="4">
        <v>1.0</v>
      </c>
      <c r="L201" s="4" t="s">
        <v>17</v>
      </c>
      <c r="M201" s="4" t="s">
        <v>22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244</v>
      </c>
      <c r="B202" s="4" t="s">
        <v>14</v>
      </c>
      <c r="C202" s="4" t="s">
        <v>20</v>
      </c>
      <c r="D202" s="5">
        <v>1.0</v>
      </c>
      <c r="E202" s="4" t="s">
        <v>25</v>
      </c>
      <c r="F202" s="4" t="s">
        <v>15</v>
      </c>
      <c r="G202" s="4">
        <v>2600.0</v>
      </c>
      <c r="H202" s="4">
        <v>2500.0</v>
      </c>
      <c r="I202" s="4">
        <v>90.0</v>
      </c>
      <c r="J202" s="4">
        <v>360.0</v>
      </c>
      <c r="K202" s="4">
        <v>1.0</v>
      </c>
      <c r="L202" s="4" t="s">
        <v>33</v>
      </c>
      <c r="M202" s="4" t="s">
        <v>18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245</v>
      </c>
      <c r="B203" s="4" t="s">
        <v>14</v>
      </c>
      <c r="C203" s="4" t="s">
        <v>15</v>
      </c>
      <c r="D203" s="5">
        <v>2.0</v>
      </c>
      <c r="E203" s="4" t="s">
        <v>16</v>
      </c>
      <c r="F203" s="4" t="s">
        <v>15</v>
      </c>
      <c r="G203" s="4">
        <v>4923.0</v>
      </c>
      <c r="H203" s="4">
        <v>0.0</v>
      </c>
      <c r="I203" s="4">
        <v>166.0</v>
      </c>
      <c r="J203" s="4">
        <v>360.0</v>
      </c>
      <c r="K203" s="4">
        <v>0.0</v>
      </c>
      <c r="L203" s="4" t="s">
        <v>33</v>
      </c>
      <c r="M203" s="4" t="s">
        <v>18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246</v>
      </c>
      <c r="B204" s="4" t="s">
        <v>14</v>
      </c>
      <c r="C204" s="4" t="s">
        <v>20</v>
      </c>
      <c r="D204" s="5" t="s">
        <v>32</v>
      </c>
      <c r="E204" s="4" t="s">
        <v>25</v>
      </c>
      <c r="F204" s="4" t="s">
        <v>15</v>
      </c>
      <c r="G204" s="4">
        <v>3992.0</v>
      </c>
      <c r="H204" s="4">
        <v>0.0</v>
      </c>
      <c r="I204" s="4">
        <v>128.0</v>
      </c>
      <c r="J204" s="4">
        <v>180.0</v>
      </c>
      <c r="K204" s="4">
        <v>1.0</v>
      </c>
      <c r="L204" s="4" t="s">
        <v>17</v>
      </c>
      <c r="M204" s="4" t="s">
        <v>22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247</v>
      </c>
      <c r="B205" s="4" t="s">
        <v>14</v>
      </c>
      <c r="C205" s="4" t="s">
        <v>20</v>
      </c>
      <c r="D205" s="5">
        <v>1.0</v>
      </c>
      <c r="E205" s="4" t="s">
        <v>25</v>
      </c>
      <c r="F205" s="4" t="s">
        <v>15</v>
      </c>
      <c r="G205" s="4">
        <v>3500.0</v>
      </c>
      <c r="H205" s="4">
        <v>1083.0</v>
      </c>
      <c r="I205" s="4">
        <v>135.0</v>
      </c>
      <c r="J205" s="4">
        <v>360.0</v>
      </c>
      <c r="K205" s="4">
        <v>1.0</v>
      </c>
      <c r="L205" s="4" t="s">
        <v>17</v>
      </c>
      <c r="M205" s="4" t="s">
        <v>18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248</v>
      </c>
      <c r="B206" s="4" t="s">
        <v>14</v>
      </c>
      <c r="C206" s="4" t="s">
        <v>20</v>
      </c>
      <c r="D206" s="5">
        <v>2.0</v>
      </c>
      <c r="E206" s="4" t="s">
        <v>25</v>
      </c>
      <c r="F206" s="4" t="s">
        <v>15</v>
      </c>
      <c r="G206" s="4">
        <v>3917.0</v>
      </c>
      <c r="H206" s="4">
        <v>0.0</v>
      </c>
      <c r="I206" s="4">
        <v>124.0</v>
      </c>
      <c r="J206" s="4">
        <v>360.0</v>
      </c>
      <c r="K206" s="4">
        <v>1.0</v>
      </c>
      <c r="L206" s="4" t="s">
        <v>33</v>
      </c>
      <c r="M206" s="4" t="s">
        <v>18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249</v>
      </c>
      <c r="B207" s="4" t="s">
        <v>54</v>
      </c>
      <c r="C207" s="4" t="s">
        <v>15</v>
      </c>
      <c r="D207" s="5">
        <v>0.0</v>
      </c>
      <c r="E207" s="4" t="s">
        <v>25</v>
      </c>
      <c r="F207" s="4" t="s">
        <v>15</v>
      </c>
      <c r="G207" s="4">
        <v>4408.0</v>
      </c>
      <c r="H207" s="4">
        <v>0.0</v>
      </c>
      <c r="I207" s="4">
        <v>120.0</v>
      </c>
      <c r="J207" s="4">
        <v>360.0</v>
      </c>
      <c r="K207" s="4">
        <v>1.0</v>
      </c>
      <c r="L207" s="4" t="s">
        <v>33</v>
      </c>
      <c r="M207" s="4" t="s">
        <v>18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250</v>
      </c>
      <c r="B208" s="4" t="s">
        <v>54</v>
      </c>
      <c r="C208" s="4" t="s">
        <v>15</v>
      </c>
      <c r="D208" s="5">
        <v>0.0</v>
      </c>
      <c r="E208" s="4" t="s">
        <v>16</v>
      </c>
      <c r="F208" s="4" t="s">
        <v>15</v>
      </c>
      <c r="G208" s="4">
        <v>3244.0</v>
      </c>
      <c r="H208" s="4">
        <v>0.0</v>
      </c>
      <c r="I208" s="4">
        <v>80.0</v>
      </c>
      <c r="J208" s="4">
        <v>360.0</v>
      </c>
      <c r="K208" s="4">
        <v>1.0</v>
      </c>
      <c r="L208" s="4" t="s">
        <v>17</v>
      </c>
      <c r="M208" s="4" t="s">
        <v>18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251</v>
      </c>
      <c r="B209" s="4" t="s">
        <v>14</v>
      </c>
      <c r="C209" s="4" t="s">
        <v>15</v>
      </c>
      <c r="D209" s="5">
        <v>0.0</v>
      </c>
      <c r="E209" s="4" t="s">
        <v>25</v>
      </c>
      <c r="F209" s="4" t="s">
        <v>15</v>
      </c>
      <c r="G209" s="4">
        <v>3975.0</v>
      </c>
      <c r="H209" s="4">
        <v>2531.0</v>
      </c>
      <c r="I209" s="4">
        <v>55.0</v>
      </c>
      <c r="J209" s="4">
        <v>360.0</v>
      </c>
      <c r="K209" s="4">
        <v>1.0</v>
      </c>
      <c r="L209" s="4" t="s">
        <v>21</v>
      </c>
      <c r="M209" s="4" t="s">
        <v>18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252</v>
      </c>
      <c r="B210" s="4" t="s">
        <v>14</v>
      </c>
      <c r="C210" s="4" t="s">
        <v>15</v>
      </c>
      <c r="D210" s="5">
        <v>0.0</v>
      </c>
      <c r="E210" s="4" t="s">
        <v>16</v>
      </c>
      <c r="F210" s="4" t="s">
        <v>15</v>
      </c>
      <c r="G210" s="4">
        <v>2479.0</v>
      </c>
      <c r="H210" s="4">
        <v>0.0</v>
      </c>
      <c r="I210" s="4">
        <v>59.0</v>
      </c>
      <c r="J210" s="4">
        <v>360.0</v>
      </c>
      <c r="K210" s="4">
        <v>1.0</v>
      </c>
      <c r="L210" s="4" t="s">
        <v>17</v>
      </c>
      <c r="M210" s="4" t="s">
        <v>18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253</v>
      </c>
      <c r="B211" s="4" t="s">
        <v>14</v>
      </c>
      <c r="C211" s="4" t="s">
        <v>15</v>
      </c>
      <c r="D211" s="5">
        <v>0.0</v>
      </c>
      <c r="E211" s="4" t="s">
        <v>16</v>
      </c>
      <c r="F211" s="4" t="s">
        <v>15</v>
      </c>
      <c r="G211" s="4">
        <v>3418.0</v>
      </c>
      <c r="H211" s="4">
        <v>0.0</v>
      </c>
      <c r="I211" s="4">
        <v>127.0</v>
      </c>
      <c r="J211" s="4">
        <v>360.0</v>
      </c>
      <c r="K211" s="4">
        <v>1.0</v>
      </c>
      <c r="L211" s="4" t="s">
        <v>33</v>
      </c>
      <c r="M211" s="4" t="s">
        <v>22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254</v>
      </c>
      <c r="B212" s="4" t="s">
        <v>54</v>
      </c>
      <c r="C212" s="4" t="s">
        <v>15</v>
      </c>
      <c r="D212" s="5">
        <v>0.0</v>
      </c>
      <c r="E212" s="4" t="s">
        <v>16</v>
      </c>
      <c r="F212" s="4" t="s">
        <v>15</v>
      </c>
      <c r="G212" s="4">
        <v>10000.0</v>
      </c>
      <c r="H212" s="4">
        <v>0.0</v>
      </c>
      <c r="I212" s="4">
        <v>214.0</v>
      </c>
      <c r="J212" s="4">
        <v>360.0</v>
      </c>
      <c r="K212" s="4">
        <v>1.0</v>
      </c>
      <c r="L212" s="4" t="s">
        <v>33</v>
      </c>
      <c r="M212" s="4" t="s">
        <v>22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255</v>
      </c>
      <c r="B213" s="4" t="s">
        <v>14</v>
      </c>
      <c r="C213" s="4" t="s">
        <v>20</v>
      </c>
      <c r="D213" s="5" t="s">
        <v>32</v>
      </c>
      <c r="E213" s="4" t="s">
        <v>16</v>
      </c>
      <c r="F213" s="4" t="s">
        <v>15</v>
      </c>
      <c r="G213" s="4">
        <v>3430.0</v>
      </c>
      <c r="H213" s="4">
        <v>1250.0</v>
      </c>
      <c r="I213" s="4">
        <v>128.0</v>
      </c>
      <c r="J213" s="4">
        <v>360.0</v>
      </c>
      <c r="K213" s="4">
        <v>0.0</v>
      </c>
      <c r="L213" s="4" t="s">
        <v>33</v>
      </c>
      <c r="M213" s="4" t="s">
        <v>22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256</v>
      </c>
      <c r="B214" s="4" t="s">
        <v>14</v>
      </c>
      <c r="C214" s="4" t="s">
        <v>20</v>
      </c>
      <c r="D214" s="5">
        <v>1.0</v>
      </c>
      <c r="E214" s="4" t="s">
        <v>16</v>
      </c>
      <c r="F214" s="4" t="s">
        <v>20</v>
      </c>
      <c r="G214" s="4">
        <v>7787.0</v>
      </c>
      <c r="H214" s="4">
        <v>0.0</v>
      </c>
      <c r="I214" s="4">
        <v>240.0</v>
      </c>
      <c r="J214" s="4">
        <v>360.0</v>
      </c>
      <c r="K214" s="4">
        <v>1.0</v>
      </c>
      <c r="L214" s="4" t="s">
        <v>17</v>
      </c>
      <c r="M214" s="4" t="s">
        <v>18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257</v>
      </c>
      <c r="B215" s="4" t="s">
        <v>14</v>
      </c>
      <c r="C215" s="4" t="s">
        <v>20</v>
      </c>
      <c r="D215" s="5" t="s">
        <v>32</v>
      </c>
      <c r="E215" s="4" t="s">
        <v>25</v>
      </c>
      <c r="F215" s="4" t="s">
        <v>20</v>
      </c>
      <c r="G215" s="4">
        <v>5703.0</v>
      </c>
      <c r="H215" s="4">
        <v>0.0</v>
      </c>
      <c r="I215" s="4">
        <v>130.0</v>
      </c>
      <c r="J215" s="4">
        <v>360.0</v>
      </c>
      <c r="K215" s="4">
        <v>1.0</v>
      </c>
      <c r="L215" s="4" t="s">
        <v>21</v>
      </c>
      <c r="M215" s="4" t="s">
        <v>18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258</v>
      </c>
      <c r="B216" s="4" t="s">
        <v>14</v>
      </c>
      <c r="C216" s="4" t="s">
        <v>20</v>
      </c>
      <c r="D216" s="5">
        <v>0.0</v>
      </c>
      <c r="E216" s="4" t="s">
        <v>16</v>
      </c>
      <c r="F216" s="4" t="s">
        <v>15</v>
      </c>
      <c r="G216" s="4">
        <v>3173.0</v>
      </c>
      <c r="H216" s="4">
        <v>3021.0</v>
      </c>
      <c r="I216" s="4">
        <v>137.0</v>
      </c>
      <c r="J216" s="4">
        <v>360.0</v>
      </c>
      <c r="K216" s="4">
        <v>1.0</v>
      </c>
      <c r="L216" s="4" t="s">
        <v>17</v>
      </c>
      <c r="M216" s="4" t="s">
        <v>18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259</v>
      </c>
      <c r="B217" s="4" t="s">
        <v>14</v>
      </c>
      <c r="C217" s="4" t="s">
        <v>20</v>
      </c>
      <c r="D217" s="5" t="s">
        <v>32</v>
      </c>
      <c r="E217" s="4" t="s">
        <v>25</v>
      </c>
      <c r="F217" s="4" t="s">
        <v>15</v>
      </c>
      <c r="G217" s="4">
        <v>3850.0</v>
      </c>
      <c r="H217" s="4">
        <v>983.0</v>
      </c>
      <c r="I217" s="4">
        <v>100.0</v>
      </c>
      <c r="J217" s="4">
        <v>360.0</v>
      </c>
      <c r="K217" s="4">
        <v>1.0</v>
      </c>
      <c r="L217" s="4" t="s">
        <v>33</v>
      </c>
      <c r="M217" s="4" t="s">
        <v>18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260</v>
      </c>
      <c r="B218" s="4" t="s">
        <v>14</v>
      </c>
      <c r="C218" s="4" t="s">
        <v>20</v>
      </c>
      <c r="D218" s="5">
        <v>0.0</v>
      </c>
      <c r="E218" s="4" t="s">
        <v>16</v>
      </c>
      <c r="F218" s="4" t="s">
        <v>15</v>
      </c>
      <c r="G218" s="4">
        <v>150.0</v>
      </c>
      <c r="H218" s="4">
        <v>1800.0</v>
      </c>
      <c r="I218" s="4">
        <v>135.0</v>
      </c>
      <c r="J218" s="4">
        <v>360.0</v>
      </c>
      <c r="K218" s="4">
        <v>1.0</v>
      </c>
      <c r="L218" s="4" t="s">
        <v>21</v>
      </c>
      <c r="M218" s="4" t="s">
        <v>22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261</v>
      </c>
      <c r="B219" s="4" t="s">
        <v>14</v>
      </c>
      <c r="C219" s="4" t="s">
        <v>20</v>
      </c>
      <c r="D219" s="5">
        <v>0.0</v>
      </c>
      <c r="E219" s="4" t="s">
        <v>16</v>
      </c>
      <c r="F219" s="4" t="s">
        <v>15</v>
      </c>
      <c r="G219" s="4">
        <v>3727.0</v>
      </c>
      <c r="H219" s="4">
        <v>1775.0</v>
      </c>
      <c r="I219" s="4">
        <v>131.0</v>
      </c>
      <c r="J219" s="4">
        <v>360.0</v>
      </c>
      <c r="K219" s="4">
        <v>1.0</v>
      </c>
      <c r="L219" s="4" t="s">
        <v>33</v>
      </c>
      <c r="M219" s="4" t="s">
        <v>18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262</v>
      </c>
      <c r="B220" s="4" t="s">
        <v>14</v>
      </c>
      <c r="C220" s="4" t="s">
        <v>20</v>
      </c>
      <c r="D220" s="5">
        <v>2.0</v>
      </c>
      <c r="E220" s="4" t="s">
        <v>16</v>
      </c>
      <c r="F220" s="4" t="s">
        <v>15</v>
      </c>
      <c r="G220" s="4">
        <v>5000.0</v>
      </c>
      <c r="H220" s="4">
        <v>0.0</v>
      </c>
      <c r="I220" s="4">
        <v>72.0</v>
      </c>
      <c r="J220" s="4">
        <v>360.0</v>
      </c>
      <c r="K220" s="4">
        <v>0.0</v>
      </c>
      <c r="L220" s="4" t="s">
        <v>33</v>
      </c>
      <c r="M220" s="4" t="s">
        <v>22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263</v>
      </c>
      <c r="B221" s="4" t="s">
        <v>54</v>
      </c>
      <c r="C221" s="4" t="s">
        <v>20</v>
      </c>
      <c r="D221" s="5">
        <v>2.0</v>
      </c>
      <c r="E221" s="4" t="s">
        <v>16</v>
      </c>
      <c r="F221" s="4" t="s">
        <v>15</v>
      </c>
      <c r="G221" s="4">
        <v>4283.0</v>
      </c>
      <c r="H221" s="4">
        <v>2383.0</v>
      </c>
      <c r="I221" s="4">
        <v>127.0</v>
      </c>
      <c r="J221" s="4">
        <v>360.0</v>
      </c>
      <c r="K221" s="4">
        <v>1.0</v>
      </c>
      <c r="L221" s="4" t="s">
        <v>33</v>
      </c>
      <c r="M221" s="4" t="s">
        <v>18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264</v>
      </c>
      <c r="B222" s="4" t="s">
        <v>14</v>
      </c>
      <c r="C222" s="4" t="s">
        <v>20</v>
      </c>
      <c r="D222" s="5">
        <v>0.0</v>
      </c>
      <c r="E222" s="4" t="s">
        <v>16</v>
      </c>
      <c r="F222" s="4" t="s">
        <v>15</v>
      </c>
      <c r="G222" s="4">
        <v>2221.0</v>
      </c>
      <c r="H222" s="4">
        <v>0.0</v>
      </c>
      <c r="I222" s="4">
        <v>60.0</v>
      </c>
      <c r="J222" s="4">
        <v>360.0</v>
      </c>
      <c r="K222" s="4">
        <v>0.0</v>
      </c>
      <c r="L222" s="4" t="s">
        <v>17</v>
      </c>
      <c r="M222" s="4" t="s">
        <v>22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265</v>
      </c>
      <c r="B223" s="4" t="s">
        <v>14</v>
      </c>
      <c r="C223" s="4" t="s">
        <v>20</v>
      </c>
      <c r="D223" s="5">
        <v>2.0</v>
      </c>
      <c r="E223" s="4" t="s">
        <v>16</v>
      </c>
      <c r="F223" s="4" t="s">
        <v>15</v>
      </c>
      <c r="G223" s="4">
        <v>4009.0</v>
      </c>
      <c r="H223" s="4">
        <v>1717.0</v>
      </c>
      <c r="I223" s="4">
        <v>116.0</v>
      </c>
      <c r="J223" s="4">
        <v>360.0</v>
      </c>
      <c r="K223" s="4">
        <v>1.0</v>
      </c>
      <c r="L223" s="4" t="s">
        <v>33</v>
      </c>
      <c r="M223" s="4" t="s">
        <v>18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266</v>
      </c>
      <c r="B224" s="4" t="s">
        <v>14</v>
      </c>
      <c r="C224" s="4" t="s">
        <v>15</v>
      </c>
      <c r="D224" s="5">
        <v>0.0</v>
      </c>
      <c r="E224" s="4" t="s">
        <v>16</v>
      </c>
      <c r="F224" s="4" t="s">
        <v>15</v>
      </c>
      <c r="G224" s="4">
        <v>2971.0</v>
      </c>
      <c r="H224" s="4">
        <v>2791.0</v>
      </c>
      <c r="I224" s="4">
        <v>144.0</v>
      </c>
      <c r="J224" s="4">
        <v>360.0</v>
      </c>
      <c r="K224" s="4">
        <v>1.0</v>
      </c>
      <c r="L224" s="4" t="s">
        <v>33</v>
      </c>
      <c r="M224" s="4" t="s">
        <v>18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267</v>
      </c>
      <c r="B225" s="4" t="s">
        <v>14</v>
      </c>
      <c r="C225" s="4" t="s">
        <v>20</v>
      </c>
      <c r="D225" s="5">
        <v>0.0</v>
      </c>
      <c r="E225" s="4" t="s">
        <v>16</v>
      </c>
      <c r="F225" s="4" t="s">
        <v>15</v>
      </c>
      <c r="G225" s="4">
        <v>7578.0</v>
      </c>
      <c r="H225" s="4">
        <v>1010.0</v>
      </c>
      <c r="I225" s="4">
        <v>175.0</v>
      </c>
      <c r="J225" s="4">
        <v>360.0</v>
      </c>
      <c r="K225" s="4">
        <v>1.0</v>
      </c>
      <c r="L225" s="4" t="s">
        <v>33</v>
      </c>
      <c r="M225" s="4" t="s">
        <v>18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268</v>
      </c>
      <c r="B226" s="4" t="s">
        <v>14</v>
      </c>
      <c r="C226" s="4" t="s">
        <v>20</v>
      </c>
      <c r="D226" s="5">
        <v>0.0</v>
      </c>
      <c r="E226" s="4" t="s">
        <v>16</v>
      </c>
      <c r="F226" s="4" t="s">
        <v>15</v>
      </c>
      <c r="G226" s="4">
        <v>6250.0</v>
      </c>
      <c r="H226" s="4">
        <v>0.0</v>
      </c>
      <c r="I226" s="4">
        <v>128.0</v>
      </c>
      <c r="J226" s="4">
        <v>360.0</v>
      </c>
      <c r="K226" s="4">
        <v>1.0</v>
      </c>
      <c r="L226" s="4" t="s">
        <v>33</v>
      </c>
      <c r="M226" s="4" t="s">
        <v>18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269</v>
      </c>
      <c r="B227" s="4" t="s">
        <v>14</v>
      </c>
      <c r="C227" s="4" t="s">
        <v>20</v>
      </c>
      <c r="D227" s="5">
        <v>0.0</v>
      </c>
      <c r="E227" s="4" t="s">
        <v>16</v>
      </c>
      <c r="F227" s="4" t="s">
        <v>15</v>
      </c>
      <c r="G227" s="4">
        <v>3250.0</v>
      </c>
      <c r="H227" s="4">
        <v>0.0</v>
      </c>
      <c r="I227" s="4">
        <v>170.0</v>
      </c>
      <c r="J227" s="4">
        <v>360.0</v>
      </c>
      <c r="K227" s="4">
        <v>1.0</v>
      </c>
      <c r="L227" s="4" t="s">
        <v>21</v>
      </c>
      <c r="M227" s="4" t="s">
        <v>22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270</v>
      </c>
      <c r="B228" s="4" t="s">
        <v>14</v>
      </c>
      <c r="C228" s="4" t="s">
        <v>20</v>
      </c>
      <c r="D228" s="5">
        <v>0.0</v>
      </c>
      <c r="E228" s="4" t="s">
        <v>25</v>
      </c>
      <c r="F228" s="4" t="s">
        <v>20</v>
      </c>
      <c r="G228" s="4">
        <v>4735.0</v>
      </c>
      <c r="H228" s="4">
        <v>0.0</v>
      </c>
      <c r="I228" s="4">
        <v>138.0</v>
      </c>
      <c r="J228" s="4">
        <v>360.0</v>
      </c>
      <c r="K228" s="4">
        <v>1.0</v>
      </c>
      <c r="L228" s="4" t="s">
        <v>17</v>
      </c>
      <c r="M228" s="4" t="s">
        <v>22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271</v>
      </c>
      <c r="B229" s="4" t="s">
        <v>14</v>
      </c>
      <c r="C229" s="4" t="s">
        <v>20</v>
      </c>
      <c r="D229" s="5">
        <v>2.0</v>
      </c>
      <c r="E229" s="4" t="s">
        <v>16</v>
      </c>
      <c r="F229" s="4" t="s">
        <v>15</v>
      </c>
      <c r="G229" s="4">
        <v>6250.0</v>
      </c>
      <c r="H229" s="4">
        <v>1695.0</v>
      </c>
      <c r="I229" s="4">
        <v>210.0</v>
      </c>
      <c r="J229" s="4">
        <v>360.0</v>
      </c>
      <c r="K229" s="4">
        <v>1.0</v>
      </c>
      <c r="L229" s="4" t="s">
        <v>33</v>
      </c>
      <c r="M229" s="4" t="s">
        <v>18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272</v>
      </c>
      <c r="B230" s="4" t="s">
        <v>14</v>
      </c>
      <c r="C230" s="4" t="s">
        <v>20</v>
      </c>
      <c r="D230" s="5">
        <v>0.0</v>
      </c>
      <c r="E230" s="4" t="s">
        <v>16</v>
      </c>
      <c r="F230" s="4" t="s">
        <v>15</v>
      </c>
      <c r="G230" s="4">
        <v>4758.0</v>
      </c>
      <c r="H230" s="4">
        <v>0.0</v>
      </c>
      <c r="I230" s="4">
        <v>158.0</v>
      </c>
      <c r="J230" s="4">
        <v>480.0</v>
      </c>
      <c r="K230" s="4">
        <v>1.0</v>
      </c>
      <c r="L230" s="4" t="s">
        <v>33</v>
      </c>
      <c r="M230" s="4" t="s">
        <v>18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273</v>
      </c>
      <c r="B231" s="4" t="s">
        <v>14</v>
      </c>
      <c r="C231" s="4" t="s">
        <v>15</v>
      </c>
      <c r="D231" s="5">
        <v>0.0</v>
      </c>
      <c r="E231" s="4" t="s">
        <v>16</v>
      </c>
      <c r="F231" s="4" t="s">
        <v>20</v>
      </c>
      <c r="G231" s="4">
        <v>6400.0</v>
      </c>
      <c r="H231" s="4">
        <v>0.0</v>
      </c>
      <c r="I231" s="4">
        <v>200.0</v>
      </c>
      <c r="J231" s="4">
        <v>360.0</v>
      </c>
      <c r="K231" s="4">
        <v>1.0</v>
      </c>
      <c r="L231" s="4" t="s">
        <v>21</v>
      </c>
      <c r="M231" s="4" t="s">
        <v>18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">
        <v>274</v>
      </c>
      <c r="B232" s="4" t="s">
        <v>14</v>
      </c>
      <c r="C232" s="4" t="s">
        <v>20</v>
      </c>
      <c r="D232" s="5">
        <v>1.0</v>
      </c>
      <c r="E232" s="4" t="s">
        <v>16</v>
      </c>
      <c r="F232" s="4" t="s">
        <v>15</v>
      </c>
      <c r="G232" s="4">
        <v>2491.0</v>
      </c>
      <c r="H232" s="4">
        <v>2054.0</v>
      </c>
      <c r="I232" s="4">
        <v>104.0</v>
      </c>
      <c r="J232" s="4">
        <v>360.0</v>
      </c>
      <c r="K232" s="4">
        <v>1.0</v>
      </c>
      <c r="L232" s="4" t="s">
        <v>33</v>
      </c>
      <c r="M232" s="4" t="s">
        <v>18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">
        <v>275</v>
      </c>
      <c r="B233" s="4" t="s">
        <v>14</v>
      </c>
      <c r="C233" s="4" t="s">
        <v>20</v>
      </c>
      <c r="D233" s="5">
        <v>0.0</v>
      </c>
      <c r="E233" s="4" t="s">
        <v>16</v>
      </c>
      <c r="F233" s="4" t="s">
        <v>15</v>
      </c>
      <c r="G233" s="4">
        <v>3716.0</v>
      </c>
      <c r="H233" s="4">
        <v>0.0</v>
      </c>
      <c r="I233" s="4">
        <v>42.0</v>
      </c>
      <c r="J233" s="4">
        <v>180.0</v>
      </c>
      <c r="K233" s="4">
        <v>1.0</v>
      </c>
      <c r="L233" s="4" t="s">
        <v>21</v>
      </c>
      <c r="M233" s="4" t="s">
        <v>18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276</v>
      </c>
      <c r="B234" s="4" t="s">
        <v>14</v>
      </c>
      <c r="C234" s="4" t="s">
        <v>15</v>
      </c>
      <c r="D234" s="5">
        <v>0.0</v>
      </c>
      <c r="E234" s="4" t="s">
        <v>25</v>
      </c>
      <c r="F234" s="4" t="s">
        <v>15</v>
      </c>
      <c r="G234" s="4">
        <v>3189.0</v>
      </c>
      <c r="H234" s="4">
        <v>2598.0</v>
      </c>
      <c r="I234" s="4">
        <v>120.0</v>
      </c>
      <c r="J234" s="4">
        <v>360.0</v>
      </c>
      <c r="K234" s="4">
        <v>1.0</v>
      </c>
      <c r="L234" s="4" t="s">
        <v>21</v>
      </c>
      <c r="M234" s="4" t="s">
        <v>18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277</v>
      </c>
      <c r="B235" s="4" t="s">
        <v>54</v>
      </c>
      <c r="C235" s="4" t="s">
        <v>15</v>
      </c>
      <c r="D235" s="5">
        <v>0.0</v>
      </c>
      <c r="E235" s="4" t="s">
        <v>16</v>
      </c>
      <c r="F235" s="4" t="s">
        <v>15</v>
      </c>
      <c r="G235" s="4">
        <v>8333.0</v>
      </c>
      <c r="H235" s="4">
        <v>0.0</v>
      </c>
      <c r="I235" s="4">
        <v>280.0</v>
      </c>
      <c r="J235" s="4">
        <v>360.0</v>
      </c>
      <c r="K235" s="4">
        <v>1.0</v>
      </c>
      <c r="L235" s="4" t="s">
        <v>33</v>
      </c>
      <c r="M235" s="4" t="s">
        <v>18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278</v>
      </c>
      <c r="B236" s="4" t="s">
        <v>14</v>
      </c>
      <c r="C236" s="4" t="s">
        <v>20</v>
      </c>
      <c r="D236" s="5">
        <v>1.0</v>
      </c>
      <c r="E236" s="4" t="s">
        <v>16</v>
      </c>
      <c r="F236" s="4" t="s">
        <v>15</v>
      </c>
      <c r="G236" s="4">
        <v>3155.0</v>
      </c>
      <c r="H236" s="4">
        <v>1779.0</v>
      </c>
      <c r="I236" s="4">
        <v>140.0</v>
      </c>
      <c r="J236" s="4">
        <v>360.0</v>
      </c>
      <c r="K236" s="4">
        <v>1.0</v>
      </c>
      <c r="L236" s="4" t="s">
        <v>33</v>
      </c>
      <c r="M236" s="4" t="s">
        <v>18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279</v>
      </c>
      <c r="B237" s="4" t="s">
        <v>14</v>
      </c>
      <c r="C237" s="4" t="s">
        <v>20</v>
      </c>
      <c r="D237" s="5">
        <v>1.0</v>
      </c>
      <c r="E237" s="4" t="s">
        <v>16</v>
      </c>
      <c r="F237" s="4" t="s">
        <v>15</v>
      </c>
      <c r="G237" s="4">
        <v>5500.0</v>
      </c>
      <c r="H237" s="4">
        <v>1260.0</v>
      </c>
      <c r="I237" s="4">
        <v>170.0</v>
      </c>
      <c r="J237" s="4">
        <v>360.0</v>
      </c>
      <c r="K237" s="4">
        <v>1.0</v>
      </c>
      <c r="L237" s="4" t="s">
        <v>21</v>
      </c>
      <c r="M237" s="4" t="s">
        <v>18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280</v>
      </c>
      <c r="B238" s="4" t="s">
        <v>14</v>
      </c>
      <c r="C238" s="4" t="s">
        <v>20</v>
      </c>
      <c r="D238" s="5">
        <v>0.0</v>
      </c>
      <c r="E238" s="4" t="s">
        <v>16</v>
      </c>
      <c r="F238" s="4" t="s">
        <v>15</v>
      </c>
      <c r="G238" s="4">
        <v>5746.0</v>
      </c>
      <c r="H238" s="4">
        <v>0.0</v>
      </c>
      <c r="I238" s="4">
        <v>255.0</v>
      </c>
      <c r="J238" s="4">
        <v>360.0</v>
      </c>
      <c r="K238" s="4">
        <v>1.0</v>
      </c>
      <c r="L238" s="4" t="s">
        <v>17</v>
      </c>
      <c r="M238" s="4" t="s">
        <v>22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281</v>
      </c>
      <c r="B239" s="4" t="s">
        <v>54</v>
      </c>
      <c r="C239" s="4" t="s">
        <v>15</v>
      </c>
      <c r="D239" s="5">
        <v>0.0</v>
      </c>
      <c r="E239" s="4" t="s">
        <v>16</v>
      </c>
      <c r="F239" s="4" t="s">
        <v>20</v>
      </c>
      <c r="G239" s="4">
        <v>3463.0</v>
      </c>
      <c r="H239" s="4">
        <v>0.0</v>
      </c>
      <c r="I239" s="4">
        <v>122.0</v>
      </c>
      <c r="J239" s="4">
        <v>360.0</v>
      </c>
      <c r="K239" s="4">
        <v>1.0</v>
      </c>
      <c r="L239" s="4" t="s">
        <v>17</v>
      </c>
      <c r="M239" s="4" t="s">
        <v>18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282</v>
      </c>
      <c r="B240" s="4" t="s">
        <v>54</v>
      </c>
      <c r="C240" s="4" t="s">
        <v>15</v>
      </c>
      <c r="D240" s="5">
        <v>1.0</v>
      </c>
      <c r="E240" s="4" t="s">
        <v>16</v>
      </c>
      <c r="F240" s="4" t="s">
        <v>15</v>
      </c>
      <c r="G240" s="4">
        <v>3812.0</v>
      </c>
      <c r="H240" s="4">
        <v>0.0</v>
      </c>
      <c r="I240" s="4">
        <v>112.0</v>
      </c>
      <c r="J240" s="4">
        <v>360.0</v>
      </c>
      <c r="K240" s="4">
        <v>1.0</v>
      </c>
      <c r="L240" s="4" t="s">
        <v>21</v>
      </c>
      <c r="M240" s="4" t="s">
        <v>18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283</v>
      </c>
      <c r="B241" s="4" t="s">
        <v>14</v>
      </c>
      <c r="C241" s="4" t="s">
        <v>20</v>
      </c>
      <c r="D241" s="5">
        <v>1.0</v>
      </c>
      <c r="E241" s="4" t="s">
        <v>16</v>
      </c>
      <c r="F241" s="4" t="s">
        <v>15</v>
      </c>
      <c r="G241" s="4">
        <v>3315.0</v>
      </c>
      <c r="H241" s="4">
        <v>0.0</v>
      </c>
      <c r="I241" s="4">
        <v>96.0</v>
      </c>
      <c r="J241" s="4">
        <v>360.0</v>
      </c>
      <c r="K241" s="4">
        <v>1.0</v>
      </c>
      <c r="L241" s="4" t="s">
        <v>33</v>
      </c>
      <c r="M241" s="4" t="s">
        <v>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 t="s">
        <v>284</v>
      </c>
      <c r="B242" s="4" t="s">
        <v>14</v>
      </c>
      <c r="C242" s="4" t="s">
        <v>20</v>
      </c>
      <c r="D242" s="5">
        <v>2.0</v>
      </c>
      <c r="E242" s="4" t="s">
        <v>16</v>
      </c>
      <c r="F242" s="4" t="s">
        <v>15</v>
      </c>
      <c r="G242" s="4">
        <v>5819.0</v>
      </c>
      <c r="H242" s="4">
        <v>5000.0</v>
      </c>
      <c r="I242" s="4">
        <v>120.0</v>
      </c>
      <c r="J242" s="4">
        <v>360.0</v>
      </c>
      <c r="K242" s="4">
        <v>1.0</v>
      </c>
      <c r="L242" s="4" t="s">
        <v>21</v>
      </c>
      <c r="M242" s="4" t="s">
        <v>18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 t="s">
        <v>285</v>
      </c>
      <c r="B243" s="4" t="s">
        <v>14</v>
      </c>
      <c r="C243" s="4" t="s">
        <v>20</v>
      </c>
      <c r="D243" s="5">
        <v>1.0</v>
      </c>
      <c r="E243" s="4" t="s">
        <v>25</v>
      </c>
      <c r="F243" s="4" t="s">
        <v>15</v>
      </c>
      <c r="G243" s="4">
        <v>2510.0</v>
      </c>
      <c r="H243" s="4">
        <v>1983.0</v>
      </c>
      <c r="I243" s="4">
        <v>140.0</v>
      </c>
      <c r="J243" s="4">
        <v>180.0</v>
      </c>
      <c r="K243" s="4">
        <v>1.0</v>
      </c>
      <c r="L243" s="4" t="s">
        <v>17</v>
      </c>
      <c r="M243" s="4" t="s">
        <v>22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 t="s">
        <v>286</v>
      </c>
      <c r="B244" s="4" t="s">
        <v>14</v>
      </c>
      <c r="C244" s="4" t="s">
        <v>15</v>
      </c>
      <c r="D244" s="5">
        <v>0.0</v>
      </c>
      <c r="E244" s="4" t="s">
        <v>16</v>
      </c>
      <c r="F244" s="4" t="s">
        <v>15</v>
      </c>
      <c r="G244" s="4">
        <v>2965.0</v>
      </c>
      <c r="H244" s="4">
        <v>5701.0</v>
      </c>
      <c r="I244" s="4">
        <v>155.0</v>
      </c>
      <c r="J244" s="4">
        <v>60.0</v>
      </c>
      <c r="K244" s="4">
        <v>1.0</v>
      </c>
      <c r="L244" s="4" t="s">
        <v>17</v>
      </c>
      <c r="M244" s="4" t="s">
        <v>18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287</v>
      </c>
      <c r="B245" s="4" t="s">
        <v>14</v>
      </c>
      <c r="C245" s="4" t="s">
        <v>20</v>
      </c>
      <c r="D245" s="5">
        <v>2.0</v>
      </c>
      <c r="E245" s="4" t="s">
        <v>16</v>
      </c>
      <c r="F245" s="4" t="s">
        <v>20</v>
      </c>
      <c r="G245" s="4">
        <v>6250.0</v>
      </c>
      <c r="H245" s="4">
        <v>1300.0</v>
      </c>
      <c r="I245" s="4">
        <v>108.0</v>
      </c>
      <c r="J245" s="4">
        <v>360.0</v>
      </c>
      <c r="K245" s="4">
        <v>1.0</v>
      </c>
      <c r="L245" s="4" t="s">
        <v>21</v>
      </c>
      <c r="M245" s="4" t="s">
        <v>18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288</v>
      </c>
      <c r="B246" s="4" t="s">
        <v>14</v>
      </c>
      <c r="C246" s="4" t="s">
        <v>20</v>
      </c>
      <c r="D246" s="5">
        <v>0.0</v>
      </c>
      <c r="E246" s="4" t="s">
        <v>25</v>
      </c>
      <c r="F246" s="4" t="s">
        <v>15</v>
      </c>
      <c r="G246" s="4">
        <v>3406.0</v>
      </c>
      <c r="H246" s="4">
        <v>4417.0</v>
      </c>
      <c r="I246" s="4">
        <v>123.0</v>
      </c>
      <c r="J246" s="4">
        <v>360.0</v>
      </c>
      <c r="K246" s="4">
        <v>1.0</v>
      </c>
      <c r="L246" s="4" t="s">
        <v>33</v>
      </c>
      <c r="M246" s="4" t="s">
        <v>18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289</v>
      </c>
      <c r="B247" s="4" t="s">
        <v>14</v>
      </c>
      <c r="C247" s="4" t="s">
        <v>15</v>
      </c>
      <c r="D247" s="5">
        <v>0.0</v>
      </c>
      <c r="E247" s="4" t="s">
        <v>16</v>
      </c>
      <c r="F247" s="4" t="s">
        <v>20</v>
      </c>
      <c r="G247" s="4">
        <v>6050.0</v>
      </c>
      <c r="H247" s="4">
        <v>4333.0</v>
      </c>
      <c r="I247" s="4">
        <v>120.0</v>
      </c>
      <c r="J247" s="4">
        <v>180.0</v>
      </c>
      <c r="K247" s="4">
        <v>1.0</v>
      </c>
      <c r="L247" s="4" t="s">
        <v>17</v>
      </c>
      <c r="M247" s="4" t="s">
        <v>22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290</v>
      </c>
      <c r="B248" s="4" t="s">
        <v>14</v>
      </c>
      <c r="C248" s="4" t="s">
        <v>20</v>
      </c>
      <c r="D248" s="5">
        <v>2.0</v>
      </c>
      <c r="E248" s="4" t="s">
        <v>16</v>
      </c>
      <c r="F248" s="4" t="s">
        <v>15</v>
      </c>
      <c r="G248" s="4">
        <v>9703.0</v>
      </c>
      <c r="H248" s="4">
        <v>0.0</v>
      </c>
      <c r="I248" s="4">
        <v>112.0</v>
      </c>
      <c r="J248" s="4">
        <v>360.0</v>
      </c>
      <c r="K248" s="4">
        <v>1.0</v>
      </c>
      <c r="L248" s="4" t="s">
        <v>17</v>
      </c>
      <c r="M248" s="4" t="s">
        <v>18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291</v>
      </c>
      <c r="B249" s="4" t="s">
        <v>14</v>
      </c>
      <c r="C249" s="4" t="s">
        <v>20</v>
      </c>
      <c r="D249" s="5">
        <v>1.0</v>
      </c>
      <c r="E249" s="4" t="s">
        <v>25</v>
      </c>
      <c r="F249" s="4" t="s">
        <v>15</v>
      </c>
      <c r="G249" s="4">
        <v>6608.0</v>
      </c>
      <c r="H249" s="4">
        <v>0.0</v>
      </c>
      <c r="I249" s="4">
        <v>137.0</v>
      </c>
      <c r="J249" s="4">
        <v>180.0</v>
      </c>
      <c r="K249" s="4">
        <v>1.0</v>
      </c>
      <c r="L249" s="4" t="s">
        <v>17</v>
      </c>
      <c r="M249" s="4" t="s">
        <v>18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292</v>
      </c>
      <c r="B250" s="4" t="s">
        <v>14</v>
      </c>
      <c r="C250" s="4" t="s">
        <v>20</v>
      </c>
      <c r="D250" s="5">
        <v>1.0</v>
      </c>
      <c r="E250" s="4" t="s">
        <v>16</v>
      </c>
      <c r="F250" s="4" t="s">
        <v>15</v>
      </c>
      <c r="G250" s="4">
        <v>2882.0</v>
      </c>
      <c r="H250" s="4">
        <v>1843.0</v>
      </c>
      <c r="I250" s="4">
        <v>123.0</v>
      </c>
      <c r="J250" s="4">
        <v>480.0</v>
      </c>
      <c r="K250" s="4">
        <v>1.0</v>
      </c>
      <c r="L250" s="4" t="s">
        <v>33</v>
      </c>
      <c r="M250" s="4" t="s">
        <v>18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293</v>
      </c>
      <c r="B251" s="4" t="s">
        <v>14</v>
      </c>
      <c r="C251" s="4" t="s">
        <v>20</v>
      </c>
      <c r="D251" s="5">
        <v>0.0</v>
      </c>
      <c r="E251" s="4" t="s">
        <v>16</v>
      </c>
      <c r="F251" s="4" t="s">
        <v>15</v>
      </c>
      <c r="G251" s="4">
        <v>1809.0</v>
      </c>
      <c r="H251" s="4">
        <v>1868.0</v>
      </c>
      <c r="I251" s="4">
        <v>90.0</v>
      </c>
      <c r="J251" s="4">
        <v>360.0</v>
      </c>
      <c r="K251" s="4">
        <v>1.0</v>
      </c>
      <c r="L251" s="4" t="s">
        <v>17</v>
      </c>
      <c r="M251" s="4" t="s">
        <v>18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 t="s">
        <v>294</v>
      </c>
      <c r="B252" s="4" t="s">
        <v>14</v>
      </c>
      <c r="C252" s="4" t="s">
        <v>20</v>
      </c>
      <c r="D252" s="5">
        <v>0.0</v>
      </c>
      <c r="E252" s="4" t="s">
        <v>25</v>
      </c>
      <c r="F252" s="4" t="s">
        <v>15</v>
      </c>
      <c r="G252" s="4">
        <v>1668.0</v>
      </c>
      <c r="H252" s="4">
        <v>3890.0</v>
      </c>
      <c r="I252" s="4">
        <v>201.0</v>
      </c>
      <c r="J252" s="4">
        <v>360.0</v>
      </c>
      <c r="K252" s="4">
        <v>0.0</v>
      </c>
      <c r="L252" s="4" t="s">
        <v>33</v>
      </c>
      <c r="M252" s="4" t="s">
        <v>22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 t="s">
        <v>295</v>
      </c>
      <c r="B253" s="4" t="s">
        <v>54</v>
      </c>
      <c r="C253" s="4" t="s">
        <v>15</v>
      </c>
      <c r="D253" s="5">
        <v>2.0</v>
      </c>
      <c r="E253" s="4" t="s">
        <v>16</v>
      </c>
      <c r="F253" s="4" t="s">
        <v>15</v>
      </c>
      <c r="G253" s="4">
        <v>3427.0</v>
      </c>
      <c r="H253" s="4">
        <v>0.0</v>
      </c>
      <c r="I253" s="4">
        <v>138.0</v>
      </c>
      <c r="J253" s="4">
        <v>360.0</v>
      </c>
      <c r="K253" s="4">
        <v>1.0</v>
      </c>
      <c r="L253" s="4" t="s">
        <v>17</v>
      </c>
      <c r="M253" s="4" t="s">
        <v>22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 t="s">
        <v>296</v>
      </c>
      <c r="B254" s="4" t="s">
        <v>14</v>
      </c>
      <c r="C254" s="4" t="s">
        <v>15</v>
      </c>
      <c r="D254" s="5">
        <v>0.0</v>
      </c>
      <c r="E254" s="4" t="s">
        <v>25</v>
      </c>
      <c r="F254" s="4" t="s">
        <v>20</v>
      </c>
      <c r="G254" s="4">
        <v>2583.0</v>
      </c>
      <c r="H254" s="4">
        <v>2167.0</v>
      </c>
      <c r="I254" s="4">
        <v>104.0</v>
      </c>
      <c r="J254" s="4">
        <v>360.0</v>
      </c>
      <c r="K254" s="4">
        <v>1.0</v>
      </c>
      <c r="L254" s="4" t="s">
        <v>21</v>
      </c>
      <c r="M254" s="4" t="s">
        <v>18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 t="s">
        <v>297</v>
      </c>
      <c r="B255" s="4" t="s">
        <v>14</v>
      </c>
      <c r="C255" s="4" t="s">
        <v>20</v>
      </c>
      <c r="D255" s="5">
        <v>1.0</v>
      </c>
      <c r="E255" s="4" t="s">
        <v>25</v>
      </c>
      <c r="F255" s="4" t="s">
        <v>15</v>
      </c>
      <c r="G255" s="4">
        <v>2661.0</v>
      </c>
      <c r="H255" s="4">
        <v>7101.0</v>
      </c>
      <c r="I255" s="4">
        <v>279.0</v>
      </c>
      <c r="J255" s="4">
        <v>180.0</v>
      </c>
      <c r="K255" s="4">
        <v>1.0</v>
      </c>
      <c r="L255" s="4" t="s">
        <v>33</v>
      </c>
      <c r="M255" s="4" t="s">
        <v>18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298</v>
      </c>
      <c r="B256" s="4" t="s">
        <v>14</v>
      </c>
      <c r="C256" s="4" t="s">
        <v>15</v>
      </c>
      <c r="D256" s="5">
        <v>0.0</v>
      </c>
      <c r="E256" s="4" t="s">
        <v>16</v>
      </c>
      <c r="F256" s="4" t="s">
        <v>20</v>
      </c>
      <c r="G256" s="4">
        <v>16250.0</v>
      </c>
      <c r="H256" s="4">
        <v>0.0</v>
      </c>
      <c r="I256" s="4">
        <v>192.0</v>
      </c>
      <c r="J256" s="4">
        <v>360.0</v>
      </c>
      <c r="K256" s="4">
        <v>0.0</v>
      </c>
      <c r="L256" s="4" t="s">
        <v>17</v>
      </c>
      <c r="M256" s="4" t="s">
        <v>22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299</v>
      </c>
      <c r="B257" s="4" t="s">
        <v>54</v>
      </c>
      <c r="C257" s="4" t="s">
        <v>15</v>
      </c>
      <c r="D257" s="5" t="s">
        <v>32</v>
      </c>
      <c r="E257" s="4" t="s">
        <v>16</v>
      </c>
      <c r="F257" s="4" t="s">
        <v>15</v>
      </c>
      <c r="G257" s="4">
        <v>3083.0</v>
      </c>
      <c r="H257" s="4">
        <v>0.0</v>
      </c>
      <c r="I257" s="4">
        <v>255.0</v>
      </c>
      <c r="J257" s="4">
        <v>360.0</v>
      </c>
      <c r="K257" s="4">
        <v>1.0</v>
      </c>
      <c r="L257" s="4" t="s">
        <v>21</v>
      </c>
      <c r="M257" s="4" t="s">
        <v>18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300</v>
      </c>
      <c r="B258" s="4" t="s">
        <v>14</v>
      </c>
      <c r="C258" s="4" t="s">
        <v>15</v>
      </c>
      <c r="D258" s="5">
        <v>0.0</v>
      </c>
      <c r="E258" s="4" t="s">
        <v>25</v>
      </c>
      <c r="F258" s="4" t="s">
        <v>15</v>
      </c>
      <c r="G258" s="4">
        <v>6045.0</v>
      </c>
      <c r="H258" s="4">
        <v>0.0</v>
      </c>
      <c r="I258" s="4">
        <v>115.0</v>
      </c>
      <c r="J258" s="4">
        <v>360.0</v>
      </c>
      <c r="K258" s="4">
        <v>0.0</v>
      </c>
      <c r="L258" s="4" t="s">
        <v>21</v>
      </c>
      <c r="M258" s="4" t="s">
        <v>22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301</v>
      </c>
      <c r="B259" s="4" t="s">
        <v>14</v>
      </c>
      <c r="C259" s="4" t="s">
        <v>20</v>
      </c>
      <c r="D259" s="5" t="s">
        <v>32</v>
      </c>
      <c r="E259" s="4" t="s">
        <v>16</v>
      </c>
      <c r="F259" s="4" t="s">
        <v>15</v>
      </c>
      <c r="G259" s="4">
        <v>5250.0</v>
      </c>
      <c r="H259" s="4">
        <v>0.0</v>
      </c>
      <c r="I259" s="4">
        <v>94.0</v>
      </c>
      <c r="J259" s="4">
        <v>360.0</v>
      </c>
      <c r="K259" s="4">
        <v>1.0</v>
      </c>
      <c r="L259" s="4" t="s">
        <v>17</v>
      </c>
      <c r="M259" s="4" t="s">
        <v>22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302</v>
      </c>
      <c r="B260" s="4" t="s">
        <v>14</v>
      </c>
      <c r="C260" s="4" t="s">
        <v>20</v>
      </c>
      <c r="D260" s="5">
        <v>0.0</v>
      </c>
      <c r="E260" s="4" t="s">
        <v>16</v>
      </c>
      <c r="F260" s="4" t="s">
        <v>15</v>
      </c>
      <c r="G260" s="4">
        <v>14683.0</v>
      </c>
      <c r="H260" s="4">
        <v>2100.0</v>
      </c>
      <c r="I260" s="4">
        <v>304.0</v>
      </c>
      <c r="J260" s="4">
        <v>360.0</v>
      </c>
      <c r="K260" s="4">
        <v>1.0</v>
      </c>
      <c r="L260" s="4" t="s">
        <v>21</v>
      </c>
      <c r="M260" s="4" t="s">
        <v>22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303</v>
      </c>
      <c r="B261" s="4" t="s">
        <v>14</v>
      </c>
      <c r="C261" s="4" t="s">
        <v>20</v>
      </c>
      <c r="D261" s="5" t="s">
        <v>32</v>
      </c>
      <c r="E261" s="4" t="s">
        <v>25</v>
      </c>
      <c r="F261" s="4" t="s">
        <v>15</v>
      </c>
      <c r="G261" s="4">
        <v>4931.0</v>
      </c>
      <c r="H261" s="4">
        <v>0.0</v>
      </c>
      <c r="I261" s="4">
        <v>128.0</v>
      </c>
      <c r="J261" s="4">
        <v>360.0</v>
      </c>
      <c r="K261" s="4">
        <v>1.0</v>
      </c>
      <c r="L261" s="4" t="s">
        <v>33</v>
      </c>
      <c r="M261" s="4" t="s">
        <v>22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304</v>
      </c>
      <c r="B262" s="4" t="s">
        <v>14</v>
      </c>
      <c r="C262" s="4" t="s">
        <v>20</v>
      </c>
      <c r="D262" s="5">
        <v>1.0</v>
      </c>
      <c r="E262" s="4" t="s">
        <v>16</v>
      </c>
      <c r="F262" s="4" t="s">
        <v>15</v>
      </c>
      <c r="G262" s="4">
        <v>6083.0</v>
      </c>
      <c r="H262" s="4">
        <v>4250.0</v>
      </c>
      <c r="I262" s="4">
        <v>330.0</v>
      </c>
      <c r="J262" s="4">
        <v>360.0</v>
      </c>
      <c r="K262" s="4">
        <v>1.0</v>
      </c>
      <c r="L262" s="4" t="s">
        <v>17</v>
      </c>
      <c r="M262" s="4" t="s">
        <v>18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 t="s">
        <v>305</v>
      </c>
      <c r="B263" s="4" t="s">
        <v>14</v>
      </c>
      <c r="C263" s="4" t="s">
        <v>15</v>
      </c>
      <c r="D263" s="5">
        <v>0.0</v>
      </c>
      <c r="E263" s="4" t="s">
        <v>16</v>
      </c>
      <c r="F263" s="4" t="s">
        <v>15</v>
      </c>
      <c r="G263" s="4">
        <v>2060.0</v>
      </c>
      <c r="H263" s="4">
        <v>2209.0</v>
      </c>
      <c r="I263" s="4">
        <v>134.0</v>
      </c>
      <c r="J263" s="4">
        <v>360.0</v>
      </c>
      <c r="K263" s="4">
        <v>1.0</v>
      </c>
      <c r="L263" s="4" t="s">
        <v>33</v>
      </c>
      <c r="M263" s="4" t="s">
        <v>18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306</v>
      </c>
      <c r="B264" s="4" t="s">
        <v>54</v>
      </c>
      <c r="C264" s="4" t="s">
        <v>15</v>
      </c>
      <c r="D264" s="5">
        <v>1.0</v>
      </c>
      <c r="E264" s="4" t="s">
        <v>16</v>
      </c>
      <c r="F264" s="4" t="s">
        <v>15</v>
      </c>
      <c r="G264" s="4">
        <v>3481.0</v>
      </c>
      <c r="H264" s="4">
        <v>0.0</v>
      </c>
      <c r="I264" s="4">
        <v>155.0</v>
      </c>
      <c r="J264" s="4">
        <v>36.0</v>
      </c>
      <c r="K264" s="4">
        <v>1.0</v>
      </c>
      <c r="L264" s="4" t="s">
        <v>33</v>
      </c>
      <c r="M264" s="4" t="s">
        <v>22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 t="s">
        <v>307</v>
      </c>
      <c r="B265" s="4" t="s">
        <v>54</v>
      </c>
      <c r="C265" s="4" t="s">
        <v>15</v>
      </c>
      <c r="D265" s="5">
        <v>0.0</v>
      </c>
      <c r="E265" s="4" t="s">
        <v>16</v>
      </c>
      <c r="F265" s="4" t="s">
        <v>15</v>
      </c>
      <c r="G265" s="4">
        <v>7200.0</v>
      </c>
      <c r="H265" s="4">
        <v>0.0</v>
      </c>
      <c r="I265" s="4">
        <v>120.0</v>
      </c>
      <c r="J265" s="4">
        <v>360.0</v>
      </c>
      <c r="K265" s="4">
        <v>1.0</v>
      </c>
      <c r="L265" s="4" t="s">
        <v>21</v>
      </c>
      <c r="M265" s="4" t="s">
        <v>18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308</v>
      </c>
      <c r="B266" s="4" t="s">
        <v>14</v>
      </c>
      <c r="C266" s="4" t="s">
        <v>15</v>
      </c>
      <c r="D266" s="5">
        <v>0.0</v>
      </c>
      <c r="E266" s="4" t="s">
        <v>16</v>
      </c>
      <c r="F266" s="4" t="s">
        <v>20</v>
      </c>
      <c r="G266" s="4">
        <v>5166.0</v>
      </c>
      <c r="H266" s="4">
        <v>0.0</v>
      </c>
      <c r="I266" s="4">
        <v>128.0</v>
      </c>
      <c r="J266" s="4">
        <v>360.0</v>
      </c>
      <c r="K266" s="4">
        <v>1.0</v>
      </c>
      <c r="L266" s="4" t="s">
        <v>33</v>
      </c>
      <c r="M266" s="4" t="s">
        <v>18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 t="s">
        <v>309</v>
      </c>
      <c r="B267" s="4" t="s">
        <v>14</v>
      </c>
      <c r="C267" s="4" t="s">
        <v>15</v>
      </c>
      <c r="D267" s="5">
        <v>0.0</v>
      </c>
      <c r="E267" s="4" t="s">
        <v>16</v>
      </c>
      <c r="F267" s="4" t="s">
        <v>15</v>
      </c>
      <c r="G267" s="4">
        <v>4095.0</v>
      </c>
      <c r="H267" s="4">
        <v>3447.0</v>
      </c>
      <c r="I267" s="4">
        <v>151.0</v>
      </c>
      <c r="J267" s="4">
        <v>360.0</v>
      </c>
      <c r="K267" s="4">
        <v>1.0</v>
      </c>
      <c r="L267" s="4" t="s">
        <v>21</v>
      </c>
      <c r="M267" s="4" t="s">
        <v>18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310</v>
      </c>
      <c r="B268" s="4" t="s">
        <v>14</v>
      </c>
      <c r="C268" s="4" t="s">
        <v>20</v>
      </c>
      <c r="D268" s="5">
        <v>2.0</v>
      </c>
      <c r="E268" s="4" t="s">
        <v>16</v>
      </c>
      <c r="F268" s="4" t="s">
        <v>15</v>
      </c>
      <c r="G268" s="4">
        <v>4708.0</v>
      </c>
      <c r="H268" s="4">
        <v>1387.0</v>
      </c>
      <c r="I268" s="4">
        <v>150.0</v>
      </c>
      <c r="J268" s="4">
        <v>360.0</v>
      </c>
      <c r="K268" s="4">
        <v>1.0</v>
      </c>
      <c r="L268" s="4" t="s">
        <v>33</v>
      </c>
      <c r="M268" s="4" t="s">
        <v>18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311</v>
      </c>
      <c r="B269" s="4" t="s">
        <v>14</v>
      </c>
      <c r="C269" s="4" t="s">
        <v>20</v>
      </c>
      <c r="D269" s="5" t="s">
        <v>32</v>
      </c>
      <c r="E269" s="4" t="s">
        <v>16</v>
      </c>
      <c r="F269" s="4" t="s">
        <v>15</v>
      </c>
      <c r="G269" s="4">
        <v>4333.0</v>
      </c>
      <c r="H269" s="4">
        <v>1811.0</v>
      </c>
      <c r="I269" s="4">
        <v>160.0</v>
      </c>
      <c r="J269" s="4">
        <v>360.0</v>
      </c>
      <c r="K269" s="4">
        <v>0.0</v>
      </c>
      <c r="L269" s="4" t="s">
        <v>17</v>
      </c>
      <c r="M269" s="4" t="s">
        <v>18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 t="s">
        <v>312</v>
      </c>
      <c r="B270" s="4" t="s">
        <v>54</v>
      </c>
      <c r="C270" s="4" t="s">
        <v>15</v>
      </c>
      <c r="D270" s="5">
        <v>0.0</v>
      </c>
      <c r="E270" s="4" t="s">
        <v>16</v>
      </c>
      <c r="F270" s="4" t="s">
        <v>15</v>
      </c>
      <c r="G270" s="4">
        <v>3418.0</v>
      </c>
      <c r="H270" s="4">
        <v>0.0</v>
      </c>
      <c r="I270" s="4">
        <v>135.0</v>
      </c>
      <c r="J270" s="4">
        <v>360.0</v>
      </c>
      <c r="K270" s="4">
        <v>1.0</v>
      </c>
      <c r="L270" s="4" t="s">
        <v>21</v>
      </c>
      <c r="M270" s="4" t="s">
        <v>22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 t="s">
        <v>313</v>
      </c>
      <c r="B271" s="4" t="s">
        <v>54</v>
      </c>
      <c r="C271" s="4" t="s">
        <v>15</v>
      </c>
      <c r="D271" s="5">
        <v>1.0</v>
      </c>
      <c r="E271" s="4" t="s">
        <v>16</v>
      </c>
      <c r="F271" s="4" t="s">
        <v>15</v>
      </c>
      <c r="G271" s="4">
        <v>2876.0</v>
      </c>
      <c r="H271" s="4">
        <v>1560.0</v>
      </c>
      <c r="I271" s="4">
        <v>90.0</v>
      </c>
      <c r="J271" s="4">
        <v>360.0</v>
      </c>
      <c r="K271" s="4">
        <v>1.0</v>
      </c>
      <c r="L271" s="4" t="s">
        <v>17</v>
      </c>
      <c r="M271" s="4" t="s">
        <v>18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 t="s">
        <v>314</v>
      </c>
      <c r="B272" s="4" t="s">
        <v>54</v>
      </c>
      <c r="C272" s="4" t="s">
        <v>15</v>
      </c>
      <c r="D272" s="5">
        <v>0.0</v>
      </c>
      <c r="E272" s="4" t="s">
        <v>16</v>
      </c>
      <c r="F272" s="4" t="s">
        <v>15</v>
      </c>
      <c r="G272" s="4">
        <v>3237.0</v>
      </c>
      <c r="H272" s="4">
        <v>0.0</v>
      </c>
      <c r="I272" s="4">
        <v>30.0</v>
      </c>
      <c r="J272" s="4">
        <v>360.0</v>
      </c>
      <c r="K272" s="4">
        <v>1.0</v>
      </c>
      <c r="L272" s="4" t="s">
        <v>17</v>
      </c>
      <c r="M272" s="4" t="s">
        <v>18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315</v>
      </c>
      <c r="B273" s="4" t="s">
        <v>14</v>
      </c>
      <c r="C273" s="4" t="s">
        <v>20</v>
      </c>
      <c r="D273" s="5">
        <v>0.0</v>
      </c>
      <c r="E273" s="4" t="s">
        <v>16</v>
      </c>
      <c r="F273" s="4" t="s">
        <v>15</v>
      </c>
      <c r="G273" s="4">
        <v>11146.0</v>
      </c>
      <c r="H273" s="4">
        <v>0.0</v>
      </c>
      <c r="I273" s="4">
        <v>136.0</v>
      </c>
      <c r="J273" s="4">
        <v>360.0</v>
      </c>
      <c r="K273" s="4">
        <v>1.0</v>
      </c>
      <c r="L273" s="4" t="s">
        <v>17</v>
      </c>
      <c r="M273" s="4" t="s">
        <v>18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">
        <v>316</v>
      </c>
      <c r="B274" s="4" t="s">
        <v>14</v>
      </c>
      <c r="C274" s="4" t="s">
        <v>15</v>
      </c>
      <c r="D274" s="5">
        <v>0.0</v>
      </c>
      <c r="E274" s="4" t="s">
        <v>16</v>
      </c>
      <c r="F274" s="4" t="s">
        <v>15</v>
      </c>
      <c r="G274" s="4">
        <v>2833.0</v>
      </c>
      <c r="H274" s="4">
        <v>1857.0</v>
      </c>
      <c r="I274" s="4">
        <v>126.0</v>
      </c>
      <c r="J274" s="4">
        <v>360.0</v>
      </c>
      <c r="K274" s="4">
        <v>1.0</v>
      </c>
      <c r="L274" s="4" t="s">
        <v>21</v>
      </c>
      <c r="M274" s="4" t="s">
        <v>18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317</v>
      </c>
      <c r="B275" s="4" t="s">
        <v>14</v>
      </c>
      <c r="C275" s="4" t="s">
        <v>20</v>
      </c>
      <c r="D275" s="5">
        <v>0.0</v>
      </c>
      <c r="E275" s="4" t="s">
        <v>16</v>
      </c>
      <c r="F275" s="4" t="s">
        <v>15</v>
      </c>
      <c r="G275" s="4">
        <v>2620.0</v>
      </c>
      <c r="H275" s="4">
        <v>2223.0</v>
      </c>
      <c r="I275" s="4">
        <v>150.0</v>
      </c>
      <c r="J275" s="4">
        <v>360.0</v>
      </c>
      <c r="K275" s="4">
        <v>1.0</v>
      </c>
      <c r="L275" s="4" t="s">
        <v>33</v>
      </c>
      <c r="M275" s="4" t="s">
        <v>18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">
        <v>318</v>
      </c>
      <c r="B276" s="4" t="s">
        <v>14</v>
      </c>
      <c r="C276" s="4" t="s">
        <v>20</v>
      </c>
      <c r="D276" s="5">
        <v>2.0</v>
      </c>
      <c r="E276" s="4" t="s">
        <v>16</v>
      </c>
      <c r="F276" s="4" t="s">
        <v>15</v>
      </c>
      <c r="G276" s="4">
        <v>3900.0</v>
      </c>
      <c r="H276" s="4">
        <v>0.0</v>
      </c>
      <c r="I276" s="4">
        <v>90.0</v>
      </c>
      <c r="J276" s="4">
        <v>360.0</v>
      </c>
      <c r="K276" s="4">
        <v>1.0</v>
      </c>
      <c r="L276" s="4" t="s">
        <v>33</v>
      </c>
      <c r="M276" s="4" t="s">
        <v>18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 t="s">
        <v>319</v>
      </c>
      <c r="B277" s="4" t="s">
        <v>14</v>
      </c>
      <c r="C277" s="4" t="s">
        <v>20</v>
      </c>
      <c r="D277" s="5">
        <v>1.0</v>
      </c>
      <c r="E277" s="4" t="s">
        <v>16</v>
      </c>
      <c r="F277" s="4" t="s">
        <v>15</v>
      </c>
      <c r="G277" s="4">
        <v>2750.0</v>
      </c>
      <c r="H277" s="4">
        <v>1842.0</v>
      </c>
      <c r="I277" s="4">
        <v>115.0</v>
      </c>
      <c r="J277" s="4">
        <v>360.0</v>
      </c>
      <c r="K277" s="4">
        <v>1.0</v>
      </c>
      <c r="L277" s="4" t="s">
        <v>33</v>
      </c>
      <c r="M277" s="4" t="s">
        <v>18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 t="s">
        <v>320</v>
      </c>
      <c r="B278" s="4" t="s">
        <v>14</v>
      </c>
      <c r="C278" s="4" t="s">
        <v>20</v>
      </c>
      <c r="D278" s="5">
        <v>0.0</v>
      </c>
      <c r="E278" s="4" t="s">
        <v>16</v>
      </c>
      <c r="F278" s="4" t="s">
        <v>15</v>
      </c>
      <c r="G278" s="4">
        <v>3993.0</v>
      </c>
      <c r="H278" s="4">
        <v>3274.0</v>
      </c>
      <c r="I278" s="4">
        <v>207.0</v>
      </c>
      <c r="J278" s="4">
        <v>360.0</v>
      </c>
      <c r="K278" s="4">
        <v>1.0</v>
      </c>
      <c r="L278" s="4" t="s">
        <v>33</v>
      </c>
      <c r="M278" s="4" t="s">
        <v>18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 t="s">
        <v>321</v>
      </c>
      <c r="B279" s="4" t="s">
        <v>14</v>
      </c>
      <c r="C279" s="4" t="s">
        <v>20</v>
      </c>
      <c r="D279" s="5">
        <v>0.0</v>
      </c>
      <c r="E279" s="4" t="s">
        <v>16</v>
      </c>
      <c r="F279" s="4" t="s">
        <v>15</v>
      </c>
      <c r="G279" s="4">
        <v>3103.0</v>
      </c>
      <c r="H279" s="4">
        <v>1300.0</v>
      </c>
      <c r="I279" s="4">
        <v>80.0</v>
      </c>
      <c r="J279" s="4">
        <v>360.0</v>
      </c>
      <c r="K279" s="4">
        <v>1.0</v>
      </c>
      <c r="L279" s="4" t="s">
        <v>17</v>
      </c>
      <c r="M279" s="4" t="s">
        <v>18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 t="s">
        <v>322</v>
      </c>
      <c r="B280" s="4" t="s">
        <v>14</v>
      </c>
      <c r="C280" s="4" t="s">
        <v>20</v>
      </c>
      <c r="D280" s="5">
        <v>0.0</v>
      </c>
      <c r="E280" s="4" t="s">
        <v>16</v>
      </c>
      <c r="F280" s="4" t="s">
        <v>15</v>
      </c>
      <c r="G280" s="4">
        <v>14583.0</v>
      </c>
      <c r="H280" s="4">
        <v>0.0</v>
      </c>
      <c r="I280" s="4">
        <v>436.0</v>
      </c>
      <c r="J280" s="4">
        <v>360.0</v>
      </c>
      <c r="K280" s="4">
        <v>1.0</v>
      </c>
      <c r="L280" s="4" t="s">
        <v>33</v>
      </c>
      <c r="M280" s="4" t="s">
        <v>18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323</v>
      </c>
      <c r="B281" s="4" t="s">
        <v>54</v>
      </c>
      <c r="C281" s="4" t="s">
        <v>20</v>
      </c>
      <c r="D281" s="5">
        <v>0.0</v>
      </c>
      <c r="E281" s="4" t="s">
        <v>25</v>
      </c>
      <c r="F281" s="4" t="s">
        <v>15</v>
      </c>
      <c r="G281" s="4">
        <v>4100.0</v>
      </c>
      <c r="H281" s="4">
        <v>0.0</v>
      </c>
      <c r="I281" s="4">
        <v>124.0</v>
      </c>
      <c r="J281" s="4">
        <v>360.0</v>
      </c>
      <c r="K281" s="4">
        <v>1.0</v>
      </c>
      <c r="L281" s="4" t="s">
        <v>21</v>
      </c>
      <c r="M281" s="4" t="s">
        <v>18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324</v>
      </c>
      <c r="B282" s="4" t="s">
        <v>14</v>
      </c>
      <c r="C282" s="4" t="s">
        <v>15</v>
      </c>
      <c r="D282" s="5">
        <v>1.0</v>
      </c>
      <c r="E282" s="4" t="s">
        <v>25</v>
      </c>
      <c r="F282" s="4" t="s">
        <v>20</v>
      </c>
      <c r="G282" s="4">
        <v>4053.0</v>
      </c>
      <c r="H282" s="4">
        <v>2426.0</v>
      </c>
      <c r="I282" s="4">
        <v>158.0</v>
      </c>
      <c r="J282" s="4">
        <v>360.0</v>
      </c>
      <c r="K282" s="4">
        <v>0.0</v>
      </c>
      <c r="L282" s="4" t="s">
        <v>17</v>
      </c>
      <c r="M282" s="4" t="s">
        <v>22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325</v>
      </c>
      <c r="B283" s="4" t="s">
        <v>14</v>
      </c>
      <c r="C283" s="4" t="s">
        <v>20</v>
      </c>
      <c r="D283" s="5">
        <v>0.0</v>
      </c>
      <c r="E283" s="4" t="s">
        <v>16</v>
      </c>
      <c r="F283" s="4" t="s">
        <v>15</v>
      </c>
      <c r="G283" s="4">
        <v>3927.0</v>
      </c>
      <c r="H283" s="4">
        <v>800.0</v>
      </c>
      <c r="I283" s="4">
        <v>112.0</v>
      </c>
      <c r="J283" s="4">
        <v>360.0</v>
      </c>
      <c r="K283" s="4">
        <v>1.0</v>
      </c>
      <c r="L283" s="4" t="s">
        <v>33</v>
      </c>
      <c r="M283" s="4" t="s">
        <v>18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326</v>
      </c>
      <c r="B284" s="4" t="s">
        <v>14</v>
      </c>
      <c r="C284" s="4" t="s">
        <v>20</v>
      </c>
      <c r="D284" s="5">
        <v>2.0</v>
      </c>
      <c r="E284" s="4" t="s">
        <v>16</v>
      </c>
      <c r="F284" s="4" t="s">
        <v>15</v>
      </c>
      <c r="G284" s="4">
        <v>2301.0</v>
      </c>
      <c r="H284" s="4">
        <v>985.7999878</v>
      </c>
      <c r="I284" s="4">
        <v>78.0</v>
      </c>
      <c r="J284" s="4">
        <v>180.0</v>
      </c>
      <c r="K284" s="4">
        <v>1.0</v>
      </c>
      <c r="L284" s="4" t="s">
        <v>17</v>
      </c>
      <c r="M284" s="4" t="s">
        <v>18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327</v>
      </c>
      <c r="B285" s="4" t="s">
        <v>54</v>
      </c>
      <c r="C285" s="4" t="s">
        <v>15</v>
      </c>
      <c r="D285" s="5">
        <v>0.0</v>
      </c>
      <c r="E285" s="4" t="s">
        <v>16</v>
      </c>
      <c r="F285" s="4" t="s">
        <v>15</v>
      </c>
      <c r="G285" s="4">
        <v>1811.0</v>
      </c>
      <c r="H285" s="4">
        <v>1666.0</v>
      </c>
      <c r="I285" s="4">
        <v>54.0</v>
      </c>
      <c r="J285" s="4">
        <v>360.0</v>
      </c>
      <c r="K285" s="4">
        <v>1.0</v>
      </c>
      <c r="L285" s="4" t="s">
        <v>17</v>
      </c>
      <c r="M285" s="4" t="s">
        <v>18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328</v>
      </c>
      <c r="B286" s="4" t="s">
        <v>14</v>
      </c>
      <c r="C286" s="4" t="s">
        <v>20</v>
      </c>
      <c r="D286" s="5">
        <v>0.0</v>
      </c>
      <c r="E286" s="4" t="s">
        <v>16</v>
      </c>
      <c r="F286" s="4" t="s">
        <v>15</v>
      </c>
      <c r="G286" s="4">
        <v>20667.0</v>
      </c>
      <c r="H286" s="4">
        <v>0.0</v>
      </c>
      <c r="I286" s="4">
        <v>128.0</v>
      </c>
      <c r="J286" s="4">
        <v>360.0</v>
      </c>
      <c r="K286" s="4">
        <v>1.0</v>
      </c>
      <c r="L286" s="4" t="s">
        <v>21</v>
      </c>
      <c r="M286" s="4" t="s">
        <v>22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329</v>
      </c>
      <c r="B287" s="4" t="s">
        <v>14</v>
      </c>
      <c r="C287" s="4" t="s">
        <v>15</v>
      </c>
      <c r="D287" s="5">
        <v>0.0</v>
      </c>
      <c r="E287" s="4" t="s">
        <v>16</v>
      </c>
      <c r="F287" s="4" t="s">
        <v>15</v>
      </c>
      <c r="G287" s="4">
        <v>3158.0</v>
      </c>
      <c r="H287" s="4">
        <v>3053.0</v>
      </c>
      <c r="I287" s="4">
        <v>89.0</v>
      </c>
      <c r="J287" s="4">
        <v>360.0</v>
      </c>
      <c r="K287" s="4">
        <v>1.0</v>
      </c>
      <c r="L287" s="4" t="s">
        <v>21</v>
      </c>
      <c r="M287" s="4" t="s">
        <v>18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">
        <v>330</v>
      </c>
      <c r="B288" s="4" t="s">
        <v>54</v>
      </c>
      <c r="C288" s="4" t="s">
        <v>15</v>
      </c>
      <c r="D288" s="5">
        <v>0.0</v>
      </c>
      <c r="E288" s="4" t="s">
        <v>16</v>
      </c>
      <c r="F288" s="4" t="s">
        <v>20</v>
      </c>
      <c r="G288" s="4">
        <v>2600.0</v>
      </c>
      <c r="H288" s="4">
        <v>1717.0</v>
      </c>
      <c r="I288" s="4">
        <v>99.0</v>
      </c>
      <c r="J288" s="4">
        <v>300.0</v>
      </c>
      <c r="K288" s="4">
        <v>1.0</v>
      </c>
      <c r="L288" s="4" t="s">
        <v>33</v>
      </c>
      <c r="M288" s="4" t="s">
        <v>22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331</v>
      </c>
      <c r="B289" s="4" t="s">
        <v>14</v>
      </c>
      <c r="C289" s="4" t="s">
        <v>20</v>
      </c>
      <c r="D289" s="5">
        <v>0.0</v>
      </c>
      <c r="E289" s="4" t="s">
        <v>16</v>
      </c>
      <c r="F289" s="4" t="s">
        <v>15</v>
      </c>
      <c r="G289" s="4">
        <v>3704.0</v>
      </c>
      <c r="H289" s="4">
        <v>2000.0</v>
      </c>
      <c r="I289" s="4">
        <v>120.0</v>
      </c>
      <c r="J289" s="4">
        <v>360.0</v>
      </c>
      <c r="K289" s="4">
        <v>1.0</v>
      </c>
      <c r="L289" s="4" t="s">
        <v>21</v>
      </c>
      <c r="M289" s="4" t="s">
        <v>18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">
        <v>332</v>
      </c>
      <c r="B290" s="4" t="s">
        <v>54</v>
      </c>
      <c r="C290" s="4" t="s">
        <v>15</v>
      </c>
      <c r="D290" s="5">
        <v>0.0</v>
      </c>
      <c r="E290" s="4" t="s">
        <v>16</v>
      </c>
      <c r="F290" s="4" t="s">
        <v>15</v>
      </c>
      <c r="G290" s="4">
        <v>4124.0</v>
      </c>
      <c r="H290" s="4">
        <v>0.0</v>
      </c>
      <c r="I290" s="4">
        <v>115.0</v>
      </c>
      <c r="J290" s="4">
        <v>360.0</v>
      </c>
      <c r="K290" s="4">
        <v>1.0</v>
      </c>
      <c r="L290" s="4" t="s">
        <v>33</v>
      </c>
      <c r="M290" s="4" t="s">
        <v>18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 t="s">
        <v>333</v>
      </c>
      <c r="B291" s="4" t="s">
        <v>14</v>
      </c>
      <c r="C291" s="4" t="s">
        <v>15</v>
      </c>
      <c r="D291" s="5">
        <v>0.0</v>
      </c>
      <c r="E291" s="4" t="s">
        <v>16</v>
      </c>
      <c r="F291" s="4" t="s">
        <v>15</v>
      </c>
      <c r="G291" s="4">
        <v>9508.0</v>
      </c>
      <c r="H291" s="4">
        <v>0.0</v>
      </c>
      <c r="I291" s="4">
        <v>187.0</v>
      </c>
      <c r="J291" s="4">
        <v>360.0</v>
      </c>
      <c r="K291" s="4">
        <v>1.0</v>
      </c>
      <c r="L291" s="4" t="s">
        <v>21</v>
      </c>
      <c r="M291" s="4" t="s">
        <v>18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 t="s">
        <v>334</v>
      </c>
      <c r="B292" s="4" t="s">
        <v>14</v>
      </c>
      <c r="C292" s="4" t="s">
        <v>20</v>
      </c>
      <c r="D292" s="5">
        <v>0.0</v>
      </c>
      <c r="E292" s="4" t="s">
        <v>16</v>
      </c>
      <c r="F292" s="4" t="s">
        <v>15</v>
      </c>
      <c r="G292" s="4">
        <v>3075.0</v>
      </c>
      <c r="H292" s="4">
        <v>2416.0</v>
      </c>
      <c r="I292" s="4">
        <v>139.0</v>
      </c>
      <c r="J292" s="4">
        <v>360.0</v>
      </c>
      <c r="K292" s="4">
        <v>1.0</v>
      </c>
      <c r="L292" s="4" t="s">
        <v>21</v>
      </c>
      <c r="M292" s="4" t="s">
        <v>18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 t="s">
        <v>335</v>
      </c>
      <c r="B293" s="4" t="s">
        <v>14</v>
      </c>
      <c r="C293" s="4" t="s">
        <v>20</v>
      </c>
      <c r="D293" s="5">
        <v>2.0</v>
      </c>
      <c r="E293" s="4" t="s">
        <v>16</v>
      </c>
      <c r="F293" s="4" t="s">
        <v>15</v>
      </c>
      <c r="G293" s="4">
        <v>4400.0</v>
      </c>
      <c r="H293" s="4">
        <v>0.0</v>
      </c>
      <c r="I293" s="4">
        <v>127.0</v>
      </c>
      <c r="J293" s="4">
        <v>360.0</v>
      </c>
      <c r="K293" s="4">
        <v>0.0</v>
      </c>
      <c r="L293" s="4" t="s">
        <v>33</v>
      </c>
      <c r="M293" s="4" t="s">
        <v>22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336</v>
      </c>
      <c r="B294" s="4" t="s">
        <v>14</v>
      </c>
      <c r="C294" s="4" t="s">
        <v>20</v>
      </c>
      <c r="D294" s="5">
        <v>2.0</v>
      </c>
      <c r="E294" s="4" t="s">
        <v>16</v>
      </c>
      <c r="F294" s="4" t="s">
        <v>15</v>
      </c>
      <c r="G294" s="4">
        <v>3153.0</v>
      </c>
      <c r="H294" s="4">
        <v>1560.0</v>
      </c>
      <c r="I294" s="4">
        <v>134.0</v>
      </c>
      <c r="J294" s="4">
        <v>360.0</v>
      </c>
      <c r="K294" s="4">
        <v>1.0</v>
      </c>
      <c r="L294" s="4" t="s">
        <v>17</v>
      </c>
      <c r="M294" s="4" t="s">
        <v>18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 t="s">
        <v>337</v>
      </c>
      <c r="B295" s="4" t="s">
        <v>54</v>
      </c>
      <c r="C295" s="4" t="s">
        <v>15</v>
      </c>
      <c r="D295" s="5">
        <v>0.0</v>
      </c>
      <c r="E295" s="4" t="s">
        <v>16</v>
      </c>
      <c r="F295" s="4" t="s">
        <v>15</v>
      </c>
      <c r="G295" s="4">
        <v>5417.0</v>
      </c>
      <c r="H295" s="4">
        <v>0.0</v>
      </c>
      <c r="I295" s="4">
        <v>143.0</v>
      </c>
      <c r="J295" s="4">
        <v>480.0</v>
      </c>
      <c r="K295" s="4">
        <v>0.0</v>
      </c>
      <c r="L295" s="4" t="s">
        <v>17</v>
      </c>
      <c r="M295" s="4" t="s">
        <v>22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 t="s">
        <v>338</v>
      </c>
      <c r="B296" s="4" t="s">
        <v>14</v>
      </c>
      <c r="C296" s="4" t="s">
        <v>20</v>
      </c>
      <c r="D296" s="5">
        <v>0.0</v>
      </c>
      <c r="E296" s="4" t="s">
        <v>16</v>
      </c>
      <c r="F296" s="4" t="s">
        <v>15</v>
      </c>
      <c r="G296" s="4">
        <v>2383.0</v>
      </c>
      <c r="H296" s="4">
        <v>3334.0</v>
      </c>
      <c r="I296" s="4">
        <v>172.0</v>
      </c>
      <c r="J296" s="4">
        <v>360.0</v>
      </c>
      <c r="K296" s="4">
        <v>1.0</v>
      </c>
      <c r="L296" s="4" t="s">
        <v>33</v>
      </c>
      <c r="M296" s="4" t="s">
        <v>18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 t="s">
        <v>339</v>
      </c>
      <c r="B297" s="4" t="s">
        <v>14</v>
      </c>
      <c r="C297" s="4" t="s">
        <v>20</v>
      </c>
      <c r="D297" s="5" t="s">
        <v>32</v>
      </c>
      <c r="E297" s="4" t="s">
        <v>16</v>
      </c>
      <c r="F297" s="4" t="s">
        <v>15</v>
      </c>
      <c r="G297" s="4">
        <v>4416.0</v>
      </c>
      <c r="H297" s="4">
        <v>1250.0</v>
      </c>
      <c r="I297" s="4">
        <v>110.0</v>
      </c>
      <c r="J297" s="4">
        <v>360.0</v>
      </c>
      <c r="K297" s="4">
        <v>1.0</v>
      </c>
      <c r="L297" s="4" t="s">
        <v>17</v>
      </c>
      <c r="M297" s="4" t="s">
        <v>18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340</v>
      </c>
      <c r="B298" s="4" t="s">
        <v>14</v>
      </c>
      <c r="C298" s="4" t="s">
        <v>20</v>
      </c>
      <c r="D298" s="5">
        <v>1.0</v>
      </c>
      <c r="E298" s="4" t="s">
        <v>16</v>
      </c>
      <c r="F298" s="4" t="s">
        <v>15</v>
      </c>
      <c r="G298" s="4">
        <v>6875.0</v>
      </c>
      <c r="H298" s="4">
        <v>0.0</v>
      </c>
      <c r="I298" s="4">
        <v>200.0</v>
      </c>
      <c r="J298" s="4">
        <v>360.0</v>
      </c>
      <c r="K298" s="4">
        <v>1.0</v>
      </c>
      <c r="L298" s="4" t="s">
        <v>33</v>
      </c>
      <c r="M298" s="4" t="s">
        <v>18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 t="s">
        <v>341</v>
      </c>
      <c r="B299" s="4" t="s">
        <v>54</v>
      </c>
      <c r="C299" s="4" t="s">
        <v>20</v>
      </c>
      <c r="D299" s="5">
        <v>1.0</v>
      </c>
      <c r="E299" s="4" t="s">
        <v>16</v>
      </c>
      <c r="F299" s="4" t="s">
        <v>15</v>
      </c>
      <c r="G299" s="4">
        <v>4666.0</v>
      </c>
      <c r="H299" s="4">
        <v>0.0</v>
      </c>
      <c r="I299" s="4">
        <v>135.0</v>
      </c>
      <c r="J299" s="4">
        <v>360.0</v>
      </c>
      <c r="K299" s="4">
        <v>1.0</v>
      </c>
      <c r="L299" s="4" t="s">
        <v>17</v>
      </c>
      <c r="M299" s="4" t="s">
        <v>18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 t="s">
        <v>342</v>
      </c>
      <c r="B300" s="4" t="s">
        <v>54</v>
      </c>
      <c r="C300" s="4" t="s">
        <v>15</v>
      </c>
      <c r="D300" s="5">
        <v>0.0</v>
      </c>
      <c r="E300" s="4" t="s">
        <v>16</v>
      </c>
      <c r="F300" s="4" t="s">
        <v>15</v>
      </c>
      <c r="G300" s="4">
        <v>5000.0</v>
      </c>
      <c r="H300" s="4">
        <v>2541.0</v>
      </c>
      <c r="I300" s="4">
        <v>151.0</v>
      </c>
      <c r="J300" s="4">
        <v>480.0</v>
      </c>
      <c r="K300" s="4">
        <v>1.0</v>
      </c>
      <c r="L300" s="4" t="s">
        <v>21</v>
      </c>
      <c r="M300" s="4" t="s">
        <v>22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">
        <v>343</v>
      </c>
      <c r="B301" s="4" t="s">
        <v>14</v>
      </c>
      <c r="C301" s="4" t="s">
        <v>20</v>
      </c>
      <c r="D301" s="5">
        <v>1.0</v>
      </c>
      <c r="E301" s="4" t="s">
        <v>16</v>
      </c>
      <c r="F301" s="4" t="s">
        <v>15</v>
      </c>
      <c r="G301" s="4">
        <v>2014.0</v>
      </c>
      <c r="H301" s="4">
        <v>2925.0</v>
      </c>
      <c r="I301" s="4">
        <v>113.0</v>
      </c>
      <c r="J301" s="4">
        <v>360.0</v>
      </c>
      <c r="K301" s="4">
        <v>1.0</v>
      </c>
      <c r="L301" s="4" t="s">
        <v>17</v>
      </c>
      <c r="M301" s="4" t="s">
        <v>22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">
        <v>344</v>
      </c>
      <c r="B302" s="4" t="s">
        <v>14</v>
      </c>
      <c r="C302" s="4" t="s">
        <v>20</v>
      </c>
      <c r="D302" s="5">
        <v>0.0</v>
      </c>
      <c r="E302" s="4" t="s">
        <v>25</v>
      </c>
      <c r="F302" s="4" t="s">
        <v>15</v>
      </c>
      <c r="G302" s="4">
        <v>1800.0</v>
      </c>
      <c r="H302" s="4">
        <v>2934.0</v>
      </c>
      <c r="I302" s="4">
        <v>93.0</v>
      </c>
      <c r="J302" s="4">
        <v>360.0</v>
      </c>
      <c r="K302" s="4">
        <v>0.0</v>
      </c>
      <c r="L302" s="4" t="s">
        <v>17</v>
      </c>
      <c r="M302" s="4" t="s">
        <v>22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">
        <v>345</v>
      </c>
      <c r="B303" s="4" t="s">
        <v>14</v>
      </c>
      <c r="C303" s="4" t="s">
        <v>20</v>
      </c>
      <c r="D303" s="5">
        <v>0.0</v>
      </c>
      <c r="E303" s="4" t="s">
        <v>25</v>
      </c>
      <c r="F303" s="4" t="s">
        <v>15</v>
      </c>
      <c r="G303" s="4">
        <v>2875.0</v>
      </c>
      <c r="H303" s="4">
        <v>1750.0</v>
      </c>
      <c r="I303" s="4">
        <v>105.0</v>
      </c>
      <c r="J303" s="4">
        <v>360.0</v>
      </c>
      <c r="K303" s="4">
        <v>1.0</v>
      </c>
      <c r="L303" s="4" t="s">
        <v>33</v>
      </c>
      <c r="M303" s="4" t="s">
        <v>18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">
        <v>346</v>
      </c>
      <c r="B304" s="4" t="s">
        <v>54</v>
      </c>
      <c r="C304" s="4" t="s">
        <v>15</v>
      </c>
      <c r="D304" s="5">
        <v>0.0</v>
      </c>
      <c r="E304" s="4" t="s">
        <v>16</v>
      </c>
      <c r="F304" s="4" t="s">
        <v>15</v>
      </c>
      <c r="G304" s="4">
        <v>5000.0</v>
      </c>
      <c r="H304" s="4">
        <v>0.0</v>
      </c>
      <c r="I304" s="4">
        <v>132.0</v>
      </c>
      <c r="J304" s="4">
        <v>360.0</v>
      </c>
      <c r="K304" s="4">
        <v>1.0</v>
      </c>
      <c r="L304" s="4" t="s">
        <v>21</v>
      </c>
      <c r="M304" s="4" t="s">
        <v>18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347</v>
      </c>
      <c r="B305" s="4" t="s">
        <v>14</v>
      </c>
      <c r="C305" s="4" t="s">
        <v>20</v>
      </c>
      <c r="D305" s="5">
        <v>1.0</v>
      </c>
      <c r="E305" s="4" t="s">
        <v>16</v>
      </c>
      <c r="F305" s="4" t="s">
        <v>15</v>
      </c>
      <c r="G305" s="4">
        <v>1625.0</v>
      </c>
      <c r="H305" s="4">
        <v>1803.0</v>
      </c>
      <c r="I305" s="4">
        <v>96.0</v>
      </c>
      <c r="J305" s="4">
        <v>360.0</v>
      </c>
      <c r="K305" s="4">
        <v>1.0</v>
      </c>
      <c r="L305" s="4" t="s">
        <v>17</v>
      </c>
      <c r="M305" s="4" t="s">
        <v>18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 t="s">
        <v>348</v>
      </c>
      <c r="B306" s="4" t="s">
        <v>14</v>
      </c>
      <c r="C306" s="4" t="s">
        <v>15</v>
      </c>
      <c r="D306" s="5">
        <v>0.0</v>
      </c>
      <c r="E306" s="4" t="s">
        <v>16</v>
      </c>
      <c r="F306" s="4" t="s">
        <v>15</v>
      </c>
      <c r="G306" s="4">
        <v>4000.0</v>
      </c>
      <c r="H306" s="4">
        <v>2500.0</v>
      </c>
      <c r="I306" s="4">
        <v>140.0</v>
      </c>
      <c r="J306" s="4">
        <v>360.0</v>
      </c>
      <c r="K306" s="4">
        <v>1.0</v>
      </c>
      <c r="L306" s="4" t="s">
        <v>21</v>
      </c>
      <c r="M306" s="4" t="s">
        <v>18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349</v>
      </c>
      <c r="B307" s="4" t="s">
        <v>14</v>
      </c>
      <c r="C307" s="4" t="s">
        <v>15</v>
      </c>
      <c r="D307" s="5">
        <v>0.0</v>
      </c>
      <c r="E307" s="4" t="s">
        <v>25</v>
      </c>
      <c r="F307" s="4" t="s">
        <v>15</v>
      </c>
      <c r="G307" s="4">
        <v>2000.0</v>
      </c>
      <c r="H307" s="4">
        <v>0.0</v>
      </c>
      <c r="I307" s="4">
        <v>128.0</v>
      </c>
      <c r="J307" s="4">
        <v>360.0</v>
      </c>
      <c r="K307" s="4">
        <v>1.0</v>
      </c>
      <c r="L307" s="4" t="s">
        <v>17</v>
      </c>
      <c r="M307" s="4" t="s">
        <v>22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 t="s">
        <v>350</v>
      </c>
      <c r="B308" s="4" t="s">
        <v>54</v>
      </c>
      <c r="C308" s="4" t="s">
        <v>15</v>
      </c>
      <c r="D308" s="5">
        <v>0.0</v>
      </c>
      <c r="E308" s="4" t="s">
        <v>16</v>
      </c>
      <c r="F308" s="4" t="s">
        <v>15</v>
      </c>
      <c r="G308" s="4">
        <v>3762.0</v>
      </c>
      <c r="H308" s="4">
        <v>1666.0</v>
      </c>
      <c r="I308" s="4">
        <v>135.0</v>
      </c>
      <c r="J308" s="4">
        <v>360.0</v>
      </c>
      <c r="K308" s="4">
        <v>1.0</v>
      </c>
      <c r="L308" s="4" t="s">
        <v>21</v>
      </c>
      <c r="M308" s="4" t="s">
        <v>18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 t="s">
        <v>351</v>
      </c>
      <c r="B309" s="4" t="s">
        <v>54</v>
      </c>
      <c r="C309" s="4" t="s">
        <v>15</v>
      </c>
      <c r="D309" s="5">
        <v>0.0</v>
      </c>
      <c r="E309" s="4" t="s">
        <v>16</v>
      </c>
      <c r="F309" s="4" t="s">
        <v>15</v>
      </c>
      <c r="G309" s="4">
        <v>2400.0</v>
      </c>
      <c r="H309" s="4">
        <v>1863.0</v>
      </c>
      <c r="I309" s="4">
        <v>104.0</v>
      </c>
      <c r="J309" s="4">
        <v>360.0</v>
      </c>
      <c r="K309" s="4">
        <v>0.0</v>
      </c>
      <c r="L309" s="4" t="s">
        <v>17</v>
      </c>
      <c r="M309" s="4" t="s">
        <v>22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 t="s">
        <v>352</v>
      </c>
      <c r="B310" s="4" t="s">
        <v>14</v>
      </c>
      <c r="C310" s="4" t="s">
        <v>15</v>
      </c>
      <c r="D310" s="5">
        <v>0.0</v>
      </c>
      <c r="E310" s="4" t="s">
        <v>16</v>
      </c>
      <c r="F310" s="4" t="s">
        <v>15</v>
      </c>
      <c r="G310" s="4">
        <v>20233.0</v>
      </c>
      <c r="H310" s="4">
        <v>0.0</v>
      </c>
      <c r="I310" s="4">
        <v>480.0</v>
      </c>
      <c r="J310" s="4">
        <v>360.0</v>
      </c>
      <c r="K310" s="4">
        <v>1.0</v>
      </c>
      <c r="L310" s="4" t="s">
        <v>21</v>
      </c>
      <c r="M310" s="4" t="s">
        <v>22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 t="s">
        <v>353</v>
      </c>
      <c r="B311" s="4" t="s">
        <v>14</v>
      </c>
      <c r="C311" s="4" t="s">
        <v>20</v>
      </c>
      <c r="D311" s="5">
        <v>2.0</v>
      </c>
      <c r="E311" s="4" t="s">
        <v>25</v>
      </c>
      <c r="F311" s="4" t="s">
        <v>15</v>
      </c>
      <c r="G311" s="4">
        <v>7667.0</v>
      </c>
      <c r="H311" s="4">
        <v>0.0</v>
      </c>
      <c r="I311" s="4">
        <v>185.0</v>
      </c>
      <c r="J311" s="4">
        <v>360.0</v>
      </c>
      <c r="K311" s="4">
        <v>1.0</v>
      </c>
      <c r="L311" s="4" t="s">
        <v>21</v>
      </c>
      <c r="M311" s="4" t="s">
        <v>18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 t="s">
        <v>354</v>
      </c>
      <c r="B312" s="4" t="s">
        <v>54</v>
      </c>
      <c r="C312" s="4" t="s">
        <v>15</v>
      </c>
      <c r="D312" s="5">
        <v>0.0</v>
      </c>
      <c r="E312" s="4" t="s">
        <v>16</v>
      </c>
      <c r="F312" s="4" t="s">
        <v>15</v>
      </c>
      <c r="G312" s="4">
        <v>2917.0</v>
      </c>
      <c r="H312" s="4">
        <v>0.0</v>
      </c>
      <c r="I312" s="4">
        <v>84.0</v>
      </c>
      <c r="J312" s="4">
        <v>360.0</v>
      </c>
      <c r="K312" s="4">
        <v>1.0</v>
      </c>
      <c r="L312" s="4" t="s">
        <v>33</v>
      </c>
      <c r="M312" s="4" t="s">
        <v>18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355</v>
      </c>
      <c r="B313" s="4" t="s">
        <v>14</v>
      </c>
      <c r="C313" s="4" t="s">
        <v>15</v>
      </c>
      <c r="D313" s="5">
        <v>0.0</v>
      </c>
      <c r="E313" s="4" t="s">
        <v>25</v>
      </c>
      <c r="F313" s="4" t="s">
        <v>15</v>
      </c>
      <c r="G313" s="4">
        <v>2927.0</v>
      </c>
      <c r="H313" s="4">
        <v>2405.0</v>
      </c>
      <c r="I313" s="4">
        <v>111.0</v>
      </c>
      <c r="J313" s="4">
        <v>360.0</v>
      </c>
      <c r="K313" s="4">
        <v>1.0</v>
      </c>
      <c r="L313" s="4" t="s">
        <v>33</v>
      </c>
      <c r="M313" s="4" t="s">
        <v>18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 t="s">
        <v>356</v>
      </c>
      <c r="B314" s="4" t="s">
        <v>54</v>
      </c>
      <c r="C314" s="4" t="s">
        <v>15</v>
      </c>
      <c r="D314" s="5">
        <v>0.0</v>
      </c>
      <c r="E314" s="4" t="s">
        <v>16</v>
      </c>
      <c r="F314" s="4" t="s">
        <v>15</v>
      </c>
      <c r="G314" s="4">
        <v>2507.0</v>
      </c>
      <c r="H314" s="4">
        <v>0.0</v>
      </c>
      <c r="I314" s="4">
        <v>56.0</v>
      </c>
      <c r="J314" s="4">
        <v>360.0</v>
      </c>
      <c r="K314" s="4">
        <v>1.0</v>
      </c>
      <c r="L314" s="4" t="s">
        <v>21</v>
      </c>
      <c r="M314" s="4" t="s">
        <v>18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 t="s">
        <v>357</v>
      </c>
      <c r="B315" s="4" t="s">
        <v>14</v>
      </c>
      <c r="C315" s="4" t="s">
        <v>20</v>
      </c>
      <c r="D315" s="5">
        <v>2.0</v>
      </c>
      <c r="E315" s="4" t="s">
        <v>16</v>
      </c>
      <c r="F315" s="4" t="s">
        <v>20</v>
      </c>
      <c r="G315" s="4">
        <v>5746.0</v>
      </c>
      <c r="H315" s="4">
        <v>0.0</v>
      </c>
      <c r="I315" s="4">
        <v>144.0</v>
      </c>
      <c r="J315" s="4">
        <v>84.0</v>
      </c>
      <c r="K315" s="4">
        <v>1.0</v>
      </c>
      <c r="L315" s="4" t="s">
        <v>21</v>
      </c>
      <c r="M315" s="4" t="s">
        <v>18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 t="s">
        <v>358</v>
      </c>
      <c r="B316" s="4" t="s">
        <v>14</v>
      </c>
      <c r="C316" s="4" t="s">
        <v>20</v>
      </c>
      <c r="D316" s="5">
        <v>0.0</v>
      </c>
      <c r="E316" s="4" t="s">
        <v>16</v>
      </c>
      <c r="F316" s="4" t="s">
        <v>15</v>
      </c>
      <c r="G316" s="4">
        <v>2473.0</v>
      </c>
      <c r="H316" s="4">
        <v>1843.0</v>
      </c>
      <c r="I316" s="4">
        <v>159.0</v>
      </c>
      <c r="J316" s="4">
        <v>360.0</v>
      </c>
      <c r="K316" s="4">
        <v>1.0</v>
      </c>
      <c r="L316" s="4" t="s">
        <v>21</v>
      </c>
      <c r="M316" s="4" t="s">
        <v>22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 t="s">
        <v>359</v>
      </c>
      <c r="B317" s="4" t="s">
        <v>14</v>
      </c>
      <c r="C317" s="4" t="s">
        <v>20</v>
      </c>
      <c r="D317" s="5">
        <v>1.0</v>
      </c>
      <c r="E317" s="4" t="s">
        <v>25</v>
      </c>
      <c r="F317" s="4" t="s">
        <v>15</v>
      </c>
      <c r="G317" s="4">
        <v>3399.0</v>
      </c>
      <c r="H317" s="4">
        <v>1640.0</v>
      </c>
      <c r="I317" s="4">
        <v>111.0</v>
      </c>
      <c r="J317" s="4">
        <v>180.0</v>
      </c>
      <c r="K317" s="4">
        <v>1.0</v>
      </c>
      <c r="L317" s="4" t="s">
        <v>17</v>
      </c>
      <c r="M317" s="4" t="s">
        <v>18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 t="s">
        <v>360</v>
      </c>
      <c r="B318" s="4" t="s">
        <v>14</v>
      </c>
      <c r="C318" s="4" t="s">
        <v>20</v>
      </c>
      <c r="D318" s="5">
        <v>2.0</v>
      </c>
      <c r="E318" s="4" t="s">
        <v>16</v>
      </c>
      <c r="F318" s="4" t="s">
        <v>15</v>
      </c>
      <c r="G318" s="4">
        <v>3717.0</v>
      </c>
      <c r="H318" s="4">
        <v>0.0</v>
      </c>
      <c r="I318" s="4">
        <v>120.0</v>
      </c>
      <c r="J318" s="4">
        <v>360.0</v>
      </c>
      <c r="K318" s="4">
        <v>1.0</v>
      </c>
      <c r="L318" s="4" t="s">
        <v>33</v>
      </c>
      <c r="M318" s="4" t="s">
        <v>18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 t="s">
        <v>361</v>
      </c>
      <c r="B319" s="4" t="s">
        <v>14</v>
      </c>
      <c r="C319" s="4" t="s">
        <v>20</v>
      </c>
      <c r="D319" s="5">
        <v>0.0</v>
      </c>
      <c r="E319" s="4" t="s">
        <v>16</v>
      </c>
      <c r="F319" s="4" t="s">
        <v>15</v>
      </c>
      <c r="G319" s="4">
        <v>2058.0</v>
      </c>
      <c r="H319" s="4">
        <v>2134.0</v>
      </c>
      <c r="I319" s="4">
        <v>88.0</v>
      </c>
      <c r="J319" s="4">
        <v>360.0</v>
      </c>
      <c r="K319" s="4">
        <v>1.0</v>
      </c>
      <c r="L319" s="4" t="s">
        <v>17</v>
      </c>
      <c r="M319" s="4" t="s">
        <v>18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 t="s">
        <v>362</v>
      </c>
      <c r="B320" s="4" t="s">
        <v>54</v>
      </c>
      <c r="C320" s="4" t="s">
        <v>15</v>
      </c>
      <c r="D320" s="5">
        <v>1.0</v>
      </c>
      <c r="E320" s="4" t="s">
        <v>16</v>
      </c>
      <c r="F320" s="4" t="s">
        <v>15</v>
      </c>
      <c r="G320" s="4">
        <v>3541.0</v>
      </c>
      <c r="H320" s="4">
        <v>0.0</v>
      </c>
      <c r="I320" s="4">
        <v>112.0</v>
      </c>
      <c r="J320" s="4">
        <v>360.0</v>
      </c>
      <c r="K320" s="4">
        <v>1.0</v>
      </c>
      <c r="L320" s="4" t="s">
        <v>33</v>
      </c>
      <c r="M320" s="4" t="s">
        <v>18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 t="s">
        <v>363</v>
      </c>
      <c r="B321" s="4" t="s">
        <v>14</v>
      </c>
      <c r="C321" s="4" t="s">
        <v>20</v>
      </c>
      <c r="D321" s="5">
        <v>1.0</v>
      </c>
      <c r="E321" s="4" t="s">
        <v>16</v>
      </c>
      <c r="F321" s="4" t="s">
        <v>20</v>
      </c>
      <c r="G321" s="4">
        <v>10000.0</v>
      </c>
      <c r="H321" s="4">
        <v>0.0</v>
      </c>
      <c r="I321" s="4">
        <v>155.0</v>
      </c>
      <c r="J321" s="4">
        <v>360.0</v>
      </c>
      <c r="K321" s="4">
        <v>1.0</v>
      </c>
      <c r="L321" s="4" t="s">
        <v>21</v>
      </c>
      <c r="M321" s="4" t="s">
        <v>22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 t="s">
        <v>364</v>
      </c>
      <c r="B322" s="4" t="s">
        <v>14</v>
      </c>
      <c r="C322" s="4" t="s">
        <v>20</v>
      </c>
      <c r="D322" s="5">
        <v>0.0</v>
      </c>
      <c r="E322" s="4" t="s">
        <v>16</v>
      </c>
      <c r="F322" s="4" t="s">
        <v>15</v>
      </c>
      <c r="G322" s="4">
        <v>2400.0</v>
      </c>
      <c r="H322" s="4">
        <v>2167.0</v>
      </c>
      <c r="I322" s="4">
        <v>115.0</v>
      </c>
      <c r="J322" s="4">
        <v>360.0</v>
      </c>
      <c r="K322" s="4">
        <v>1.0</v>
      </c>
      <c r="L322" s="4" t="s">
        <v>33</v>
      </c>
      <c r="M322" s="4" t="s">
        <v>18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 t="s">
        <v>365</v>
      </c>
      <c r="B323" s="4" t="s">
        <v>14</v>
      </c>
      <c r="C323" s="4" t="s">
        <v>20</v>
      </c>
      <c r="D323" s="5" t="s">
        <v>32</v>
      </c>
      <c r="E323" s="4" t="s">
        <v>16</v>
      </c>
      <c r="F323" s="4" t="s">
        <v>15</v>
      </c>
      <c r="G323" s="4">
        <v>4342.0</v>
      </c>
      <c r="H323" s="4">
        <v>189.0</v>
      </c>
      <c r="I323" s="4">
        <v>124.0</v>
      </c>
      <c r="J323" s="4">
        <v>360.0</v>
      </c>
      <c r="K323" s="4">
        <v>1.0</v>
      </c>
      <c r="L323" s="4" t="s">
        <v>33</v>
      </c>
      <c r="M323" s="4" t="s">
        <v>18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 t="s">
        <v>366</v>
      </c>
      <c r="B324" s="4" t="s">
        <v>14</v>
      </c>
      <c r="C324" s="4" t="s">
        <v>20</v>
      </c>
      <c r="D324" s="5">
        <v>2.0</v>
      </c>
      <c r="E324" s="4" t="s">
        <v>25</v>
      </c>
      <c r="F324" s="4" t="s">
        <v>15</v>
      </c>
      <c r="G324" s="4">
        <v>3601.0</v>
      </c>
      <c r="H324" s="4">
        <v>1590.0</v>
      </c>
      <c r="I324" s="4">
        <v>128.0</v>
      </c>
      <c r="J324" s="4">
        <v>360.0</v>
      </c>
      <c r="K324" s="4">
        <v>1.0</v>
      </c>
      <c r="L324" s="4" t="s">
        <v>21</v>
      </c>
      <c r="M324" s="4" t="s">
        <v>18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 t="s">
        <v>367</v>
      </c>
      <c r="B325" s="4" t="s">
        <v>54</v>
      </c>
      <c r="C325" s="4" t="s">
        <v>15</v>
      </c>
      <c r="D325" s="5">
        <v>0.0</v>
      </c>
      <c r="E325" s="4" t="s">
        <v>16</v>
      </c>
      <c r="F325" s="4" t="s">
        <v>15</v>
      </c>
      <c r="G325" s="4">
        <v>3166.0</v>
      </c>
      <c r="H325" s="4">
        <v>2985.0</v>
      </c>
      <c r="I325" s="4">
        <v>132.0</v>
      </c>
      <c r="J325" s="4">
        <v>360.0</v>
      </c>
      <c r="K325" s="4">
        <v>1.0</v>
      </c>
      <c r="L325" s="4" t="s">
        <v>21</v>
      </c>
      <c r="M325" s="4" t="s">
        <v>18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 t="s">
        <v>368</v>
      </c>
      <c r="B326" s="4" t="s">
        <v>14</v>
      </c>
      <c r="C326" s="4" t="s">
        <v>20</v>
      </c>
      <c r="D326" s="5" t="s">
        <v>32</v>
      </c>
      <c r="E326" s="4" t="s">
        <v>16</v>
      </c>
      <c r="F326" s="4" t="s">
        <v>15</v>
      </c>
      <c r="G326" s="4">
        <v>15000.0</v>
      </c>
      <c r="H326" s="4">
        <v>0.0</v>
      </c>
      <c r="I326" s="4">
        <v>300.0</v>
      </c>
      <c r="J326" s="4">
        <v>360.0</v>
      </c>
      <c r="K326" s="4">
        <v>1.0</v>
      </c>
      <c r="L326" s="4" t="s">
        <v>21</v>
      </c>
      <c r="M326" s="4" t="s">
        <v>18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 t="s">
        <v>369</v>
      </c>
      <c r="B327" s="4" t="s">
        <v>14</v>
      </c>
      <c r="C327" s="4" t="s">
        <v>20</v>
      </c>
      <c r="D327" s="5">
        <v>1.0</v>
      </c>
      <c r="E327" s="4" t="s">
        <v>16</v>
      </c>
      <c r="F327" s="4" t="s">
        <v>20</v>
      </c>
      <c r="G327" s="4">
        <v>8666.0</v>
      </c>
      <c r="H327" s="4">
        <v>4983.0</v>
      </c>
      <c r="I327" s="4">
        <v>376.0</v>
      </c>
      <c r="J327" s="4">
        <v>360.0</v>
      </c>
      <c r="K327" s="4">
        <v>0.0</v>
      </c>
      <c r="L327" s="4" t="s">
        <v>21</v>
      </c>
      <c r="M327" s="4" t="s">
        <v>22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 t="s">
        <v>370</v>
      </c>
      <c r="B328" s="4" t="s">
        <v>14</v>
      </c>
      <c r="C328" s="4" t="s">
        <v>15</v>
      </c>
      <c r="D328" s="5">
        <v>0.0</v>
      </c>
      <c r="E328" s="4" t="s">
        <v>16</v>
      </c>
      <c r="F328" s="4" t="s">
        <v>15</v>
      </c>
      <c r="G328" s="4">
        <v>4917.0</v>
      </c>
      <c r="H328" s="4">
        <v>0.0</v>
      </c>
      <c r="I328" s="4">
        <v>130.0</v>
      </c>
      <c r="J328" s="4">
        <v>360.0</v>
      </c>
      <c r="K328" s="4">
        <v>0.0</v>
      </c>
      <c r="L328" s="4" t="s">
        <v>21</v>
      </c>
      <c r="M328" s="4" t="s">
        <v>18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 t="s">
        <v>371</v>
      </c>
      <c r="B329" s="4" t="s">
        <v>14</v>
      </c>
      <c r="C329" s="4" t="s">
        <v>20</v>
      </c>
      <c r="D329" s="5">
        <v>0.0</v>
      </c>
      <c r="E329" s="4" t="s">
        <v>16</v>
      </c>
      <c r="F329" s="4" t="s">
        <v>20</v>
      </c>
      <c r="G329" s="4">
        <v>5818.0</v>
      </c>
      <c r="H329" s="4">
        <v>2160.0</v>
      </c>
      <c r="I329" s="4">
        <v>184.0</v>
      </c>
      <c r="J329" s="4">
        <v>360.0</v>
      </c>
      <c r="K329" s="4">
        <v>1.0</v>
      </c>
      <c r="L329" s="4" t="s">
        <v>33</v>
      </c>
      <c r="M329" s="4" t="s">
        <v>18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 t="s">
        <v>372</v>
      </c>
      <c r="B330" s="4" t="s">
        <v>54</v>
      </c>
      <c r="C330" s="4" t="s">
        <v>20</v>
      </c>
      <c r="D330" s="5">
        <v>0.0</v>
      </c>
      <c r="E330" s="4" t="s">
        <v>16</v>
      </c>
      <c r="F330" s="4" t="s">
        <v>15</v>
      </c>
      <c r="G330" s="4">
        <v>4333.0</v>
      </c>
      <c r="H330" s="4">
        <v>2451.0</v>
      </c>
      <c r="I330" s="4">
        <v>110.0</v>
      </c>
      <c r="J330" s="4">
        <v>360.0</v>
      </c>
      <c r="K330" s="4">
        <v>1.0</v>
      </c>
      <c r="L330" s="4" t="s">
        <v>17</v>
      </c>
      <c r="M330" s="4" t="s">
        <v>22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 t="s">
        <v>373</v>
      </c>
      <c r="B331" s="4" t="s">
        <v>54</v>
      </c>
      <c r="C331" s="4" t="s">
        <v>15</v>
      </c>
      <c r="D331" s="5">
        <v>0.0</v>
      </c>
      <c r="E331" s="4" t="s">
        <v>16</v>
      </c>
      <c r="F331" s="4" t="s">
        <v>15</v>
      </c>
      <c r="G331" s="4">
        <v>2500.0</v>
      </c>
      <c r="H331" s="4">
        <v>0.0</v>
      </c>
      <c r="I331" s="4">
        <v>67.0</v>
      </c>
      <c r="J331" s="4">
        <v>360.0</v>
      </c>
      <c r="K331" s="4">
        <v>1.0</v>
      </c>
      <c r="L331" s="4" t="s">
        <v>17</v>
      </c>
      <c r="M331" s="4" t="s">
        <v>18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 t="s">
        <v>374</v>
      </c>
      <c r="B332" s="4" t="s">
        <v>14</v>
      </c>
      <c r="C332" s="4" t="s">
        <v>15</v>
      </c>
      <c r="D332" s="5">
        <v>1.0</v>
      </c>
      <c r="E332" s="4" t="s">
        <v>16</v>
      </c>
      <c r="F332" s="4" t="s">
        <v>15</v>
      </c>
      <c r="G332" s="4">
        <v>4384.0</v>
      </c>
      <c r="H332" s="4">
        <v>1793.0</v>
      </c>
      <c r="I332" s="4">
        <v>117.0</v>
      </c>
      <c r="J332" s="4">
        <v>360.0</v>
      </c>
      <c r="K332" s="4">
        <v>1.0</v>
      </c>
      <c r="L332" s="4" t="s">
        <v>17</v>
      </c>
      <c r="M332" s="4" t="s">
        <v>18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 t="s">
        <v>375</v>
      </c>
      <c r="B333" s="4" t="s">
        <v>14</v>
      </c>
      <c r="C333" s="4" t="s">
        <v>15</v>
      </c>
      <c r="D333" s="5">
        <v>0.0</v>
      </c>
      <c r="E333" s="4" t="s">
        <v>16</v>
      </c>
      <c r="F333" s="4" t="s">
        <v>15</v>
      </c>
      <c r="G333" s="4">
        <v>2935.0</v>
      </c>
      <c r="H333" s="4">
        <v>0.0</v>
      </c>
      <c r="I333" s="4">
        <v>98.0</v>
      </c>
      <c r="J333" s="4">
        <v>360.0</v>
      </c>
      <c r="K333" s="4">
        <v>1.0</v>
      </c>
      <c r="L333" s="4" t="s">
        <v>33</v>
      </c>
      <c r="M333" s="4" t="s">
        <v>18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 t="s">
        <v>376</v>
      </c>
      <c r="B334" s="4" t="s">
        <v>14</v>
      </c>
      <c r="C334" s="4" t="s">
        <v>15</v>
      </c>
      <c r="D334" s="5">
        <v>0.0</v>
      </c>
      <c r="E334" s="4" t="s">
        <v>16</v>
      </c>
      <c r="F334" s="4" t="s">
        <v>15</v>
      </c>
      <c r="G334" s="4">
        <v>2833.0</v>
      </c>
      <c r="H334" s="4">
        <v>0.0</v>
      </c>
      <c r="I334" s="4">
        <v>71.0</v>
      </c>
      <c r="J334" s="4">
        <v>360.0</v>
      </c>
      <c r="K334" s="4">
        <v>1.0</v>
      </c>
      <c r="L334" s="4" t="s">
        <v>17</v>
      </c>
      <c r="M334" s="4" t="s">
        <v>18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 t="s">
        <v>377</v>
      </c>
      <c r="B335" s="4" t="s">
        <v>14</v>
      </c>
      <c r="C335" s="4" t="s">
        <v>20</v>
      </c>
      <c r="D335" s="5">
        <v>0.0</v>
      </c>
      <c r="E335" s="4" t="s">
        <v>16</v>
      </c>
      <c r="F335" s="4" t="s">
        <v>15</v>
      </c>
      <c r="G335" s="4">
        <v>63337.0</v>
      </c>
      <c r="H335" s="4">
        <v>0.0</v>
      </c>
      <c r="I335" s="4">
        <v>490.0</v>
      </c>
      <c r="J335" s="4">
        <v>180.0</v>
      </c>
      <c r="K335" s="4">
        <v>1.0</v>
      </c>
      <c r="L335" s="4" t="s">
        <v>17</v>
      </c>
      <c r="M335" s="4" t="s">
        <v>18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 t="s">
        <v>378</v>
      </c>
      <c r="B336" s="4" t="s">
        <v>14</v>
      </c>
      <c r="C336" s="4" t="s">
        <v>20</v>
      </c>
      <c r="D336" s="5">
        <v>1.0</v>
      </c>
      <c r="E336" s="4" t="s">
        <v>16</v>
      </c>
      <c r="F336" s="4" t="s">
        <v>20</v>
      </c>
      <c r="G336" s="4">
        <v>9833.0</v>
      </c>
      <c r="H336" s="4">
        <v>1833.0</v>
      </c>
      <c r="I336" s="4">
        <v>182.0</v>
      </c>
      <c r="J336" s="4">
        <v>180.0</v>
      </c>
      <c r="K336" s="4">
        <v>1.0</v>
      </c>
      <c r="L336" s="4" t="s">
        <v>17</v>
      </c>
      <c r="M336" s="4" t="s">
        <v>18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 t="s">
        <v>379</v>
      </c>
      <c r="B337" s="4" t="s">
        <v>14</v>
      </c>
      <c r="C337" s="4" t="s">
        <v>20</v>
      </c>
      <c r="D337" s="5">
        <v>0.0</v>
      </c>
      <c r="E337" s="4" t="s">
        <v>16</v>
      </c>
      <c r="F337" s="4" t="s">
        <v>20</v>
      </c>
      <c r="G337" s="4">
        <v>5503.0</v>
      </c>
      <c r="H337" s="4">
        <v>4490.0</v>
      </c>
      <c r="I337" s="4">
        <v>70.0</v>
      </c>
      <c r="J337" s="4">
        <v>360.0</v>
      </c>
      <c r="K337" s="4">
        <v>1.0</v>
      </c>
      <c r="L337" s="4" t="s">
        <v>33</v>
      </c>
      <c r="M337" s="4" t="s">
        <v>18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 t="s">
        <v>380</v>
      </c>
      <c r="B338" s="4" t="s">
        <v>14</v>
      </c>
      <c r="C338" s="4" t="s">
        <v>20</v>
      </c>
      <c r="D338" s="5">
        <v>1.0</v>
      </c>
      <c r="E338" s="4" t="s">
        <v>16</v>
      </c>
      <c r="F338" s="4" t="s">
        <v>15</v>
      </c>
      <c r="G338" s="4">
        <v>5250.0</v>
      </c>
      <c r="H338" s="4">
        <v>688.0</v>
      </c>
      <c r="I338" s="4">
        <v>160.0</v>
      </c>
      <c r="J338" s="4">
        <v>360.0</v>
      </c>
      <c r="K338" s="4">
        <v>1.0</v>
      </c>
      <c r="L338" s="4" t="s">
        <v>21</v>
      </c>
      <c r="M338" s="4" t="s">
        <v>18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 t="s">
        <v>381</v>
      </c>
      <c r="B339" s="4" t="s">
        <v>14</v>
      </c>
      <c r="C339" s="4" t="s">
        <v>20</v>
      </c>
      <c r="D339" s="5">
        <v>2.0</v>
      </c>
      <c r="E339" s="4" t="s">
        <v>16</v>
      </c>
      <c r="F339" s="4" t="s">
        <v>20</v>
      </c>
      <c r="G339" s="4">
        <v>2500.0</v>
      </c>
      <c r="H339" s="4">
        <v>4600.0</v>
      </c>
      <c r="I339" s="4">
        <v>176.0</v>
      </c>
      <c r="J339" s="4">
        <v>360.0</v>
      </c>
      <c r="K339" s="4">
        <v>1.0</v>
      </c>
      <c r="L339" s="4" t="s">
        <v>21</v>
      </c>
      <c r="M339" s="4" t="s">
        <v>18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 t="s">
        <v>382</v>
      </c>
      <c r="B340" s="4" t="s">
        <v>54</v>
      </c>
      <c r="C340" s="4" t="s">
        <v>15</v>
      </c>
      <c r="D340" s="5" t="s">
        <v>32</v>
      </c>
      <c r="E340" s="4" t="s">
        <v>25</v>
      </c>
      <c r="F340" s="4" t="s">
        <v>15</v>
      </c>
      <c r="G340" s="4">
        <v>1830.0</v>
      </c>
      <c r="H340" s="4">
        <v>0.0</v>
      </c>
      <c r="I340" s="4">
        <v>128.0</v>
      </c>
      <c r="J340" s="4">
        <v>360.0</v>
      </c>
      <c r="K340" s="4">
        <v>0.0</v>
      </c>
      <c r="L340" s="4" t="s">
        <v>17</v>
      </c>
      <c r="M340" s="4" t="s">
        <v>22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 t="s">
        <v>383</v>
      </c>
      <c r="B341" s="4" t="s">
        <v>54</v>
      </c>
      <c r="C341" s="4" t="s">
        <v>15</v>
      </c>
      <c r="D341" s="5">
        <v>0.0</v>
      </c>
      <c r="E341" s="4" t="s">
        <v>16</v>
      </c>
      <c r="F341" s="4" t="s">
        <v>15</v>
      </c>
      <c r="G341" s="4">
        <v>4160.0</v>
      </c>
      <c r="H341" s="4">
        <v>0.0</v>
      </c>
      <c r="I341" s="4">
        <v>71.0</v>
      </c>
      <c r="J341" s="4">
        <v>360.0</v>
      </c>
      <c r="K341" s="4">
        <v>1.0</v>
      </c>
      <c r="L341" s="4" t="s">
        <v>33</v>
      </c>
      <c r="M341" s="4" t="s">
        <v>18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 t="s">
        <v>384</v>
      </c>
      <c r="B342" s="4" t="s">
        <v>14</v>
      </c>
      <c r="C342" s="4" t="s">
        <v>20</v>
      </c>
      <c r="D342" s="5" t="s">
        <v>32</v>
      </c>
      <c r="E342" s="4" t="s">
        <v>25</v>
      </c>
      <c r="F342" s="4" t="s">
        <v>15</v>
      </c>
      <c r="G342" s="4">
        <v>2647.0</v>
      </c>
      <c r="H342" s="4">
        <v>1587.0</v>
      </c>
      <c r="I342" s="4">
        <v>173.0</v>
      </c>
      <c r="J342" s="4">
        <v>360.0</v>
      </c>
      <c r="K342" s="4">
        <v>1.0</v>
      </c>
      <c r="L342" s="4" t="s">
        <v>21</v>
      </c>
      <c r="M342" s="4" t="s">
        <v>22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 t="s">
        <v>385</v>
      </c>
      <c r="B343" s="4" t="s">
        <v>54</v>
      </c>
      <c r="C343" s="4" t="s">
        <v>15</v>
      </c>
      <c r="D343" s="5">
        <v>0.0</v>
      </c>
      <c r="E343" s="4" t="s">
        <v>16</v>
      </c>
      <c r="F343" s="4" t="s">
        <v>15</v>
      </c>
      <c r="G343" s="4">
        <v>2378.0</v>
      </c>
      <c r="H343" s="4">
        <v>0.0</v>
      </c>
      <c r="I343" s="4">
        <v>46.0</v>
      </c>
      <c r="J343" s="4">
        <v>360.0</v>
      </c>
      <c r="K343" s="4">
        <v>1.0</v>
      </c>
      <c r="L343" s="4" t="s">
        <v>21</v>
      </c>
      <c r="M343" s="4" t="s">
        <v>22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 t="s">
        <v>386</v>
      </c>
      <c r="B344" s="4" t="s">
        <v>14</v>
      </c>
      <c r="C344" s="4" t="s">
        <v>20</v>
      </c>
      <c r="D344" s="5">
        <v>1.0</v>
      </c>
      <c r="E344" s="4" t="s">
        <v>25</v>
      </c>
      <c r="F344" s="4" t="s">
        <v>15</v>
      </c>
      <c r="G344" s="4">
        <v>4554.0</v>
      </c>
      <c r="H344" s="4">
        <v>1229.0</v>
      </c>
      <c r="I344" s="4">
        <v>158.0</v>
      </c>
      <c r="J344" s="4">
        <v>360.0</v>
      </c>
      <c r="K344" s="4">
        <v>1.0</v>
      </c>
      <c r="L344" s="4" t="s">
        <v>17</v>
      </c>
      <c r="M344" s="4" t="s">
        <v>18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 t="s">
        <v>387</v>
      </c>
      <c r="B345" s="4" t="s">
        <v>14</v>
      </c>
      <c r="C345" s="4" t="s">
        <v>20</v>
      </c>
      <c r="D345" s="5" t="s">
        <v>32</v>
      </c>
      <c r="E345" s="4" t="s">
        <v>25</v>
      </c>
      <c r="F345" s="4" t="s">
        <v>15</v>
      </c>
      <c r="G345" s="4">
        <v>3173.0</v>
      </c>
      <c r="H345" s="4">
        <v>0.0</v>
      </c>
      <c r="I345" s="4">
        <v>74.0</v>
      </c>
      <c r="J345" s="4">
        <v>360.0</v>
      </c>
      <c r="K345" s="4">
        <v>1.0</v>
      </c>
      <c r="L345" s="4" t="s">
        <v>33</v>
      </c>
      <c r="M345" s="4" t="s">
        <v>18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 t="s">
        <v>388</v>
      </c>
      <c r="B346" s="4" t="s">
        <v>14</v>
      </c>
      <c r="C346" s="4" t="s">
        <v>20</v>
      </c>
      <c r="D346" s="5">
        <v>2.0</v>
      </c>
      <c r="E346" s="4" t="s">
        <v>16</v>
      </c>
      <c r="F346" s="4" t="s">
        <v>15</v>
      </c>
      <c r="G346" s="4">
        <v>2583.0</v>
      </c>
      <c r="H346" s="4">
        <v>2330.0</v>
      </c>
      <c r="I346" s="4">
        <v>125.0</v>
      </c>
      <c r="J346" s="4">
        <v>360.0</v>
      </c>
      <c r="K346" s="4">
        <v>1.0</v>
      </c>
      <c r="L346" s="4" t="s">
        <v>21</v>
      </c>
      <c r="M346" s="4" t="s">
        <v>18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 t="s">
        <v>389</v>
      </c>
      <c r="B347" s="4" t="s">
        <v>14</v>
      </c>
      <c r="C347" s="4" t="s">
        <v>20</v>
      </c>
      <c r="D347" s="5">
        <v>0.0</v>
      </c>
      <c r="E347" s="4" t="s">
        <v>16</v>
      </c>
      <c r="F347" s="4" t="s">
        <v>15</v>
      </c>
      <c r="G347" s="4">
        <v>2499.0</v>
      </c>
      <c r="H347" s="4">
        <v>2458.0</v>
      </c>
      <c r="I347" s="4">
        <v>160.0</v>
      </c>
      <c r="J347" s="4">
        <v>360.0</v>
      </c>
      <c r="K347" s="4">
        <v>1.0</v>
      </c>
      <c r="L347" s="4" t="s">
        <v>33</v>
      </c>
      <c r="M347" s="4" t="s">
        <v>18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 t="s">
        <v>390</v>
      </c>
      <c r="B348" s="4" t="s">
        <v>14</v>
      </c>
      <c r="C348" s="4" t="s">
        <v>20</v>
      </c>
      <c r="D348" s="5">
        <v>0.0</v>
      </c>
      <c r="E348" s="4" t="s">
        <v>25</v>
      </c>
      <c r="F348" s="4" t="s">
        <v>15</v>
      </c>
      <c r="G348" s="4">
        <v>3523.0</v>
      </c>
      <c r="H348" s="4">
        <v>3230.0</v>
      </c>
      <c r="I348" s="4">
        <v>152.0</v>
      </c>
      <c r="J348" s="4">
        <v>360.0</v>
      </c>
      <c r="K348" s="4">
        <v>0.0</v>
      </c>
      <c r="L348" s="4" t="s">
        <v>21</v>
      </c>
      <c r="M348" s="4" t="s">
        <v>22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 t="s">
        <v>391</v>
      </c>
      <c r="B349" s="4" t="s">
        <v>14</v>
      </c>
      <c r="C349" s="4" t="s">
        <v>20</v>
      </c>
      <c r="D349" s="5">
        <v>2.0</v>
      </c>
      <c r="E349" s="4" t="s">
        <v>25</v>
      </c>
      <c r="F349" s="4" t="s">
        <v>15</v>
      </c>
      <c r="G349" s="4">
        <v>3083.0</v>
      </c>
      <c r="H349" s="4">
        <v>2168.0</v>
      </c>
      <c r="I349" s="4">
        <v>126.0</v>
      </c>
      <c r="J349" s="4">
        <v>360.0</v>
      </c>
      <c r="K349" s="4">
        <v>1.0</v>
      </c>
      <c r="L349" s="4" t="s">
        <v>17</v>
      </c>
      <c r="M349" s="4" t="s">
        <v>18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 t="s">
        <v>392</v>
      </c>
      <c r="B350" s="4" t="s">
        <v>14</v>
      </c>
      <c r="C350" s="4" t="s">
        <v>20</v>
      </c>
      <c r="D350" s="5">
        <v>0.0</v>
      </c>
      <c r="E350" s="4" t="s">
        <v>16</v>
      </c>
      <c r="F350" s="4" t="s">
        <v>15</v>
      </c>
      <c r="G350" s="4">
        <v>6333.0</v>
      </c>
      <c r="H350" s="4">
        <v>4583.0</v>
      </c>
      <c r="I350" s="4">
        <v>259.0</v>
      </c>
      <c r="J350" s="4">
        <v>360.0</v>
      </c>
      <c r="K350" s="4">
        <v>1.0</v>
      </c>
      <c r="L350" s="4" t="s">
        <v>33</v>
      </c>
      <c r="M350" s="4" t="s">
        <v>18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 t="s">
        <v>393</v>
      </c>
      <c r="B351" s="4" t="s">
        <v>14</v>
      </c>
      <c r="C351" s="4" t="s">
        <v>20</v>
      </c>
      <c r="D351" s="5">
        <v>0.0</v>
      </c>
      <c r="E351" s="4" t="s">
        <v>16</v>
      </c>
      <c r="F351" s="4" t="s">
        <v>15</v>
      </c>
      <c r="G351" s="4">
        <v>2625.0</v>
      </c>
      <c r="H351" s="4">
        <v>6250.0</v>
      </c>
      <c r="I351" s="4">
        <v>187.0</v>
      </c>
      <c r="J351" s="4">
        <v>360.0</v>
      </c>
      <c r="K351" s="4">
        <v>1.0</v>
      </c>
      <c r="L351" s="4" t="s">
        <v>21</v>
      </c>
      <c r="M351" s="4" t="s">
        <v>18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 t="s">
        <v>394</v>
      </c>
      <c r="B352" s="4" t="s">
        <v>14</v>
      </c>
      <c r="C352" s="4" t="s">
        <v>20</v>
      </c>
      <c r="D352" s="5">
        <v>0.0</v>
      </c>
      <c r="E352" s="4" t="s">
        <v>16</v>
      </c>
      <c r="F352" s="4" t="s">
        <v>15</v>
      </c>
      <c r="G352" s="4">
        <v>9083.0</v>
      </c>
      <c r="H352" s="4">
        <v>0.0</v>
      </c>
      <c r="I352" s="4">
        <v>228.0</v>
      </c>
      <c r="J352" s="4">
        <v>360.0</v>
      </c>
      <c r="K352" s="4">
        <v>1.0</v>
      </c>
      <c r="L352" s="4" t="s">
        <v>33</v>
      </c>
      <c r="M352" s="4" t="s">
        <v>18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 t="s">
        <v>395</v>
      </c>
      <c r="B353" s="4" t="s">
        <v>14</v>
      </c>
      <c r="C353" s="4" t="s">
        <v>15</v>
      </c>
      <c r="D353" s="5">
        <v>0.0</v>
      </c>
      <c r="E353" s="4" t="s">
        <v>16</v>
      </c>
      <c r="F353" s="4" t="s">
        <v>15</v>
      </c>
      <c r="G353" s="4">
        <v>8750.0</v>
      </c>
      <c r="H353" s="4">
        <v>4167.0</v>
      </c>
      <c r="I353" s="4">
        <v>308.0</v>
      </c>
      <c r="J353" s="4">
        <v>360.0</v>
      </c>
      <c r="K353" s="4">
        <v>1.0</v>
      </c>
      <c r="L353" s="4" t="s">
        <v>21</v>
      </c>
      <c r="M353" s="4" t="s">
        <v>22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 t="s">
        <v>396</v>
      </c>
      <c r="B354" s="4" t="s">
        <v>14</v>
      </c>
      <c r="C354" s="4" t="s">
        <v>20</v>
      </c>
      <c r="D354" s="5" t="s">
        <v>32</v>
      </c>
      <c r="E354" s="4" t="s">
        <v>16</v>
      </c>
      <c r="F354" s="4" t="s">
        <v>15</v>
      </c>
      <c r="G354" s="4">
        <v>2666.0</v>
      </c>
      <c r="H354" s="4">
        <v>2083.0</v>
      </c>
      <c r="I354" s="4">
        <v>95.0</v>
      </c>
      <c r="J354" s="4">
        <v>360.0</v>
      </c>
      <c r="K354" s="4">
        <v>1.0</v>
      </c>
      <c r="L354" s="4" t="s">
        <v>21</v>
      </c>
      <c r="M354" s="4" t="s">
        <v>18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 t="s">
        <v>397</v>
      </c>
      <c r="B355" s="4" t="s">
        <v>54</v>
      </c>
      <c r="C355" s="4" t="s">
        <v>20</v>
      </c>
      <c r="D355" s="5">
        <v>0.0</v>
      </c>
      <c r="E355" s="4" t="s">
        <v>16</v>
      </c>
      <c r="F355" s="4" t="s">
        <v>20</v>
      </c>
      <c r="G355" s="4">
        <v>5500.0</v>
      </c>
      <c r="H355" s="4">
        <v>0.0</v>
      </c>
      <c r="I355" s="4">
        <v>105.0</v>
      </c>
      <c r="J355" s="4">
        <v>360.0</v>
      </c>
      <c r="K355" s="4">
        <v>0.0</v>
      </c>
      <c r="L355" s="4" t="s">
        <v>21</v>
      </c>
      <c r="M355" s="4" t="s">
        <v>22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 t="s">
        <v>398</v>
      </c>
      <c r="B356" s="4" t="s">
        <v>54</v>
      </c>
      <c r="C356" s="4" t="s">
        <v>20</v>
      </c>
      <c r="D356" s="5">
        <v>0.0</v>
      </c>
      <c r="E356" s="4" t="s">
        <v>16</v>
      </c>
      <c r="F356" s="4" t="s">
        <v>15</v>
      </c>
      <c r="G356" s="4">
        <v>2423.0</v>
      </c>
      <c r="H356" s="4">
        <v>505.0</v>
      </c>
      <c r="I356" s="4">
        <v>130.0</v>
      </c>
      <c r="J356" s="4">
        <v>360.0</v>
      </c>
      <c r="K356" s="4">
        <v>1.0</v>
      </c>
      <c r="L356" s="4" t="s">
        <v>33</v>
      </c>
      <c r="M356" s="4" t="s">
        <v>18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 t="s">
        <v>399</v>
      </c>
      <c r="B357" s="4" t="s">
        <v>54</v>
      </c>
      <c r="C357" s="4" t="s">
        <v>15</v>
      </c>
      <c r="D357" s="5">
        <v>0.0</v>
      </c>
      <c r="E357" s="4" t="s">
        <v>16</v>
      </c>
      <c r="F357" s="4" t="s">
        <v>15</v>
      </c>
      <c r="G357" s="4">
        <v>3813.0</v>
      </c>
      <c r="H357" s="4">
        <v>0.0</v>
      </c>
      <c r="I357" s="4">
        <v>116.0</v>
      </c>
      <c r="J357" s="4">
        <v>180.0</v>
      </c>
      <c r="K357" s="4">
        <v>1.0</v>
      </c>
      <c r="L357" s="4" t="s">
        <v>17</v>
      </c>
      <c r="M357" s="4" t="s">
        <v>18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 t="s">
        <v>400</v>
      </c>
      <c r="B358" s="4" t="s">
        <v>14</v>
      </c>
      <c r="C358" s="4" t="s">
        <v>20</v>
      </c>
      <c r="D358" s="5">
        <v>2.0</v>
      </c>
      <c r="E358" s="4" t="s">
        <v>16</v>
      </c>
      <c r="F358" s="4" t="s">
        <v>15</v>
      </c>
      <c r="G358" s="4">
        <v>8333.0</v>
      </c>
      <c r="H358" s="4">
        <v>3167.0</v>
      </c>
      <c r="I358" s="4">
        <v>165.0</v>
      </c>
      <c r="J358" s="4">
        <v>360.0</v>
      </c>
      <c r="K358" s="4">
        <v>1.0</v>
      </c>
      <c r="L358" s="4" t="s">
        <v>21</v>
      </c>
      <c r="M358" s="4" t="s">
        <v>18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 t="s">
        <v>401</v>
      </c>
      <c r="B359" s="4" t="s">
        <v>14</v>
      </c>
      <c r="C359" s="4" t="s">
        <v>20</v>
      </c>
      <c r="D359" s="5">
        <v>1.0</v>
      </c>
      <c r="E359" s="4" t="s">
        <v>16</v>
      </c>
      <c r="F359" s="4" t="s">
        <v>15</v>
      </c>
      <c r="G359" s="4">
        <v>3875.0</v>
      </c>
      <c r="H359" s="4">
        <v>0.0</v>
      </c>
      <c r="I359" s="4">
        <v>67.0</v>
      </c>
      <c r="J359" s="4">
        <v>360.0</v>
      </c>
      <c r="K359" s="4">
        <v>1.0</v>
      </c>
      <c r="L359" s="4" t="s">
        <v>17</v>
      </c>
      <c r="M359" s="4" t="s">
        <v>22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 t="s">
        <v>402</v>
      </c>
      <c r="B360" s="4" t="s">
        <v>14</v>
      </c>
      <c r="C360" s="4" t="s">
        <v>20</v>
      </c>
      <c r="D360" s="5">
        <v>0.0</v>
      </c>
      <c r="E360" s="4" t="s">
        <v>25</v>
      </c>
      <c r="F360" s="4" t="s">
        <v>15</v>
      </c>
      <c r="G360" s="4">
        <v>3000.0</v>
      </c>
      <c r="H360" s="4">
        <v>1666.0</v>
      </c>
      <c r="I360" s="4">
        <v>100.0</v>
      </c>
      <c r="J360" s="4">
        <v>480.0</v>
      </c>
      <c r="K360" s="4">
        <v>0.0</v>
      </c>
      <c r="L360" s="4" t="s">
        <v>17</v>
      </c>
      <c r="M360" s="4" t="s">
        <v>22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 t="s">
        <v>403</v>
      </c>
      <c r="B361" s="4" t="s">
        <v>14</v>
      </c>
      <c r="C361" s="4" t="s">
        <v>20</v>
      </c>
      <c r="D361" s="5" t="s">
        <v>32</v>
      </c>
      <c r="E361" s="4" t="s">
        <v>16</v>
      </c>
      <c r="F361" s="4" t="s">
        <v>15</v>
      </c>
      <c r="G361" s="4">
        <v>5167.0</v>
      </c>
      <c r="H361" s="4">
        <v>3167.0</v>
      </c>
      <c r="I361" s="4">
        <v>200.0</v>
      </c>
      <c r="J361" s="4">
        <v>360.0</v>
      </c>
      <c r="K361" s="4">
        <v>1.0</v>
      </c>
      <c r="L361" s="4" t="s">
        <v>33</v>
      </c>
      <c r="M361" s="4" t="s">
        <v>18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 t="s">
        <v>404</v>
      </c>
      <c r="B362" s="4" t="s">
        <v>54</v>
      </c>
      <c r="C362" s="4" t="s">
        <v>15</v>
      </c>
      <c r="D362" s="5">
        <v>1.0</v>
      </c>
      <c r="E362" s="4" t="s">
        <v>16</v>
      </c>
      <c r="F362" s="4" t="s">
        <v>15</v>
      </c>
      <c r="G362" s="4">
        <v>4723.0</v>
      </c>
      <c r="H362" s="4">
        <v>0.0</v>
      </c>
      <c r="I362" s="4">
        <v>81.0</v>
      </c>
      <c r="J362" s="4">
        <v>360.0</v>
      </c>
      <c r="K362" s="4">
        <v>1.0</v>
      </c>
      <c r="L362" s="4" t="s">
        <v>33</v>
      </c>
      <c r="M362" s="4" t="s">
        <v>22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 t="s">
        <v>405</v>
      </c>
      <c r="B363" s="4" t="s">
        <v>14</v>
      </c>
      <c r="C363" s="4" t="s">
        <v>20</v>
      </c>
      <c r="D363" s="5">
        <v>2.0</v>
      </c>
      <c r="E363" s="4" t="s">
        <v>16</v>
      </c>
      <c r="F363" s="4" t="s">
        <v>15</v>
      </c>
      <c r="G363" s="4">
        <v>5000.0</v>
      </c>
      <c r="H363" s="4">
        <v>3667.0</v>
      </c>
      <c r="I363" s="4">
        <v>236.0</v>
      </c>
      <c r="J363" s="4">
        <v>360.0</v>
      </c>
      <c r="K363" s="4">
        <v>1.0</v>
      </c>
      <c r="L363" s="4" t="s">
        <v>33</v>
      </c>
      <c r="M363" s="4" t="s">
        <v>18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 t="s">
        <v>406</v>
      </c>
      <c r="B364" s="4" t="s">
        <v>14</v>
      </c>
      <c r="C364" s="4" t="s">
        <v>20</v>
      </c>
      <c r="D364" s="5">
        <v>0.0</v>
      </c>
      <c r="E364" s="4" t="s">
        <v>16</v>
      </c>
      <c r="F364" s="4" t="s">
        <v>15</v>
      </c>
      <c r="G364" s="4">
        <v>4750.0</v>
      </c>
      <c r="H364" s="4">
        <v>2333.0</v>
      </c>
      <c r="I364" s="4">
        <v>130.0</v>
      </c>
      <c r="J364" s="4">
        <v>360.0</v>
      </c>
      <c r="K364" s="4">
        <v>1.0</v>
      </c>
      <c r="L364" s="4" t="s">
        <v>17</v>
      </c>
      <c r="M364" s="4" t="s">
        <v>18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 t="s">
        <v>407</v>
      </c>
      <c r="B365" s="4" t="s">
        <v>14</v>
      </c>
      <c r="C365" s="4" t="s">
        <v>20</v>
      </c>
      <c r="D365" s="5">
        <v>0.0</v>
      </c>
      <c r="E365" s="4" t="s">
        <v>16</v>
      </c>
      <c r="F365" s="4" t="s">
        <v>15</v>
      </c>
      <c r="G365" s="4">
        <v>3013.0</v>
      </c>
      <c r="H365" s="4">
        <v>3033.0</v>
      </c>
      <c r="I365" s="4">
        <v>95.0</v>
      </c>
      <c r="J365" s="4">
        <v>300.0</v>
      </c>
      <c r="K365" s="4">
        <v>1.0</v>
      </c>
      <c r="L365" s="4" t="s">
        <v>17</v>
      </c>
      <c r="M365" s="4" t="s">
        <v>18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 t="s">
        <v>408</v>
      </c>
      <c r="B366" s="4" t="s">
        <v>14</v>
      </c>
      <c r="C366" s="4" t="s">
        <v>15</v>
      </c>
      <c r="D366" s="5">
        <v>0.0</v>
      </c>
      <c r="E366" s="4" t="s">
        <v>16</v>
      </c>
      <c r="F366" s="4" t="s">
        <v>20</v>
      </c>
      <c r="G366" s="4">
        <v>6822.0</v>
      </c>
      <c r="H366" s="4">
        <v>0.0</v>
      </c>
      <c r="I366" s="4">
        <v>141.0</v>
      </c>
      <c r="J366" s="4">
        <v>360.0</v>
      </c>
      <c r="K366" s="4">
        <v>1.0</v>
      </c>
      <c r="L366" s="4" t="s">
        <v>21</v>
      </c>
      <c r="M366" s="4" t="s">
        <v>18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 t="s">
        <v>409</v>
      </c>
      <c r="B367" s="4" t="s">
        <v>14</v>
      </c>
      <c r="C367" s="4" t="s">
        <v>15</v>
      </c>
      <c r="D367" s="5">
        <v>0.0</v>
      </c>
      <c r="E367" s="4" t="s">
        <v>25</v>
      </c>
      <c r="F367" s="4" t="s">
        <v>15</v>
      </c>
      <c r="G367" s="4">
        <v>6216.0</v>
      </c>
      <c r="H367" s="4">
        <v>0.0</v>
      </c>
      <c r="I367" s="4">
        <v>133.0</v>
      </c>
      <c r="J367" s="4">
        <v>360.0</v>
      </c>
      <c r="K367" s="4">
        <v>1.0</v>
      </c>
      <c r="L367" s="4" t="s">
        <v>21</v>
      </c>
      <c r="M367" s="4" t="s">
        <v>22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 t="s">
        <v>410</v>
      </c>
      <c r="B368" s="4" t="s">
        <v>14</v>
      </c>
      <c r="C368" s="4" t="s">
        <v>15</v>
      </c>
      <c r="D368" s="5">
        <v>0.0</v>
      </c>
      <c r="E368" s="4" t="s">
        <v>16</v>
      </c>
      <c r="F368" s="4" t="s">
        <v>15</v>
      </c>
      <c r="G368" s="4">
        <v>2500.0</v>
      </c>
      <c r="H368" s="4">
        <v>0.0</v>
      </c>
      <c r="I368" s="4">
        <v>96.0</v>
      </c>
      <c r="J368" s="4">
        <v>480.0</v>
      </c>
      <c r="K368" s="4">
        <v>1.0</v>
      </c>
      <c r="L368" s="4" t="s">
        <v>33</v>
      </c>
      <c r="M368" s="4" t="s">
        <v>22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 t="s">
        <v>411</v>
      </c>
      <c r="B369" s="4" t="s">
        <v>14</v>
      </c>
      <c r="C369" s="4" t="s">
        <v>15</v>
      </c>
      <c r="D369" s="5">
        <v>0.0</v>
      </c>
      <c r="E369" s="4" t="s">
        <v>16</v>
      </c>
      <c r="F369" s="4" t="s">
        <v>15</v>
      </c>
      <c r="G369" s="4">
        <v>5124.0</v>
      </c>
      <c r="H369" s="4">
        <v>0.0</v>
      </c>
      <c r="I369" s="4">
        <v>124.0</v>
      </c>
      <c r="J369" s="4">
        <v>360.0</v>
      </c>
      <c r="K369" s="4">
        <v>0.0</v>
      </c>
      <c r="L369" s="4" t="s">
        <v>21</v>
      </c>
      <c r="M369" s="4" t="s">
        <v>22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 t="s">
        <v>412</v>
      </c>
      <c r="B370" s="4" t="s">
        <v>14</v>
      </c>
      <c r="C370" s="4" t="s">
        <v>20</v>
      </c>
      <c r="D370" s="5">
        <v>1.0</v>
      </c>
      <c r="E370" s="4" t="s">
        <v>16</v>
      </c>
      <c r="F370" s="4" t="s">
        <v>15</v>
      </c>
      <c r="G370" s="4">
        <v>6325.0</v>
      </c>
      <c r="H370" s="4">
        <v>0.0</v>
      </c>
      <c r="I370" s="4">
        <v>175.0</v>
      </c>
      <c r="J370" s="4">
        <v>360.0</v>
      </c>
      <c r="K370" s="4">
        <v>1.0</v>
      </c>
      <c r="L370" s="4" t="s">
        <v>33</v>
      </c>
      <c r="M370" s="4" t="s">
        <v>18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">
        <v>413</v>
      </c>
      <c r="B371" s="4" t="s">
        <v>14</v>
      </c>
      <c r="C371" s="4" t="s">
        <v>20</v>
      </c>
      <c r="D371" s="5">
        <v>0.0</v>
      </c>
      <c r="E371" s="4" t="s">
        <v>16</v>
      </c>
      <c r="F371" s="4" t="s">
        <v>15</v>
      </c>
      <c r="G371" s="4">
        <v>19730.0</v>
      </c>
      <c r="H371" s="4">
        <v>5266.0</v>
      </c>
      <c r="I371" s="4">
        <v>570.0</v>
      </c>
      <c r="J371" s="4">
        <v>360.0</v>
      </c>
      <c r="K371" s="4">
        <v>1.0</v>
      </c>
      <c r="L371" s="4" t="s">
        <v>21</v>
      </c>
      <c r="M371" s="4" t="s">
        <v>22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 t="s">
        <v>414</v>
      </c>
      <c r="B372" s="4" t="s">
        <v>54</v>
      </c>
      <c r="C372" s="4" t="s">
        <v>15</v>
      </c>
      <c r="D372" s="5">
        <v>0.0</v>
      </c>
      <c r="E372" s="4" t="s">
        <v>16</v>
      </c>
      <c r="F372" s="4" t="s">
        <v>20</v>
      </c>
      <c r="G372" s="4">
        <v>15759.0</v>
      </c>
      <c r="H372" s="4">
        <v>0.0</v>
      </c>
      <c r="I372" s="4">
        <v>55.0</v>
      </c>
      <c r="J372" s="4">
        <v>360.0</v>
      </c>
      <c r="K372" s="4">
        <v>1.0</v>
      </c>
      <c r="L372" s="4" t="s">
        <v>33</v>
      </c>
      <c r="M372" s="4" t="s">
        <v>18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 t="s">
        <v>415</v>
      </c>
      <c r="B373" s="4" t="s">
        <v>14</v>
      </c>
      <c r="C373" s="4" t="s">
        <v>20</v>
      </c>
      <c r="D373" s="5">
        <v>2.0</v>
      </c>
      <c r="E373" s="4" t="s">
        <v>16</v>
      </c>
      <c r="F373" s="4" t="s">
        <v>15</v>
      </c>
      <c r="G373" s="4">
        <v>5185.0</v>
      </c>
      <c r="H373" s="4">
        <v>0.0</v>
      </c>
      <c r="I373" s="4">
        <v>155.0</v>
      </c>
      <c r="J373" s="4">
        <v>360.0</v>
      </c>
      <c r="K373" s="4">
        <v>1.0</v>
      </c>
      <c r="L373" s="4" t="s">
        <v>33</v>
      </c>
      <c r="M373" s="4" t="s">
        <v>18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 t="s">
        <v>416</v>
      </c>
      <c r="B374" s="4" t="s">
        <v>14</v>
      </c>
      <c r="C374" s="4" t="s">
        <v>20</v>
      </c>
      <c r="D374" s="5">
        <v>2.0</v>
      </c>
      <c r="E374" s="4" t="s">
        <v>16</v>
      </c>
      <c r="F374" s="4" t="s">
        <v>20</v>
      </c>
      <c r="G374" s="4">
        <v>9323.0</v>
      </c>
      <c r="H374" s="4">
        <v>7873.0</v>
      </c>
      <c r="I374" s="4">
        <v>380.0</v>
      </c>
      <c r="J374" s="4">
        <v>300.0</v>
      </c>
      <c r="K374" s="4">
        <v>1.0</v>
      </c>
      <c r="L374" s="4" t="s">
        <v>21</v>
      </c>
      <c r="M374" s="4" t="s">
        <v>18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 t="s">
        <v>417</v>
      </c>
      <c r="B375" s="4" t="s">
        <v>14</v>
      </c>
      <c r="C375" s="4" t="s">
        <v>15</v>
      </c>
      <c r="D375" s="5">
        <v>1.0</v>
      </c>
      <c r="E375" s="4" t="s">
        <v>16</v>
      </c>
      <c r="F375" s="4" t="s">
        <v>15</v>
      </c>
      <c r="G375" s="4">
        <v>3062.0</v>
      </c>
      <c r="H375" s="4">
        <v>1987.0</v>
      </c>
      <c r="I375" s="4">
        <v>111.0</v>
      </c>
      <c r="J375" s="4">
        <v>180.0</v>
      </c>
      <c r="K375" s="4">
        <v>0.0</v>
      </c>
      <c r="L375" s="4" t="s">
        <v>17</v>
      </c>
      <c r="M375" s="4" t="s">
        <v>22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 t="s">
        <v>418</v>
      </c>
      <c r="B376" s="4" t="s">
        <v>54</v>
      </c>
      <c r="C376" s="4" t="s">
        <v>15</v>
      </c>
      <c r="D376" s="5">
        <v>0.0</v>
      </c>
      <c r="E376" s="4" t="s">
        <v>16</v>
      </c>
      <c r="F376" s="4" t="s">
        <v>15</v>
      </c>
      <c r="G376" s="4">
        <v>2764.0</v>
      </c>
      <c r="H376" s="4">
        <v>1459.0</v>
      </c>
      <c r="I376" s="4">
        <v>110.0</v>
      </c>
      <c r="J376" s="4">
        <v>360.0</v>
      </c>
      <c r="K376" s="4">
        <v>1.0</v>
      </c>
      <c r="L376" s="4" t="s">
        <v>17</v>
      </c>
      <c r="M376" s="4" t="s">
        <v>18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 t="s">
        <v>419</v>
      </c>
      <c r="B377" s="4" t="s">
        <v>14</v>
      </c>
      <c r="C377" s="4" t="s">
        <v>20</v>
      </c>
      <c r="D377" s="5">
        <v>0.0</v>
      </c>
      <c r="E377" s="4" t="s">
        <v>16</v>
      </c>
      <c r="F377" s="4" t="s">
        <v>15</v>
      </c>
      <c r="G377" s="4">
        <v>4817.0</v>
      </c>
      <c r="H377" s="4">
        <v>923.0</v>
      </c>
      <c r="I377" s="4">
        <v>120.0</v>
      </c>
      <c r="J377" s="4">
        <v>180.0</v>
      </c>
      <c r="K377" s="4">
        <v>1.0</v>
      </c>
      <c r="L377" s="4" t="s">
        <v>17</v>
      </c>
      <c r="M377" s="4" t="s">
        <v>18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 t="s">
        <v>420</v>
      </c>
      <c r="B378" s="4" t="s">
        <v>14</v>
      </c>
      <c r="C378" s="4" t="s">
        <v>20</v>
      </c>
      <c r="D378" s="5" t="s">
        <v>32</v>
      </c>
      <c r="E378" s="4" t="s">
        <v>16</v>
      </c>
      <c r="F378" s="4" t="s">
        <v>15</v>
      </c>
      <c r="G378" s="4">
        <v>8750.0</v>
      </c>
      <c r="H378" s="4">
        <v>4996.0</v>
      </c>
      <c r="I378" s="4">
        <v>130.0</v>
      </c>
      <c r="J378" s="4">
        <v>360.0</v>
      </c>
      <c r="K378" s="4">
        <v>1.0</v>
      </c>
      <c r="L378" s="4" t="s">
        <v>21</v>
      </c>
      <c r="M378" s="4" t="s">
        <v>18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 t="s">
        <v>421</v>
      </c>
      <c r="B379" s="4" t="s">
        <v>14</v>
      </c>
      <c r="C379" s="4" t="s">
        <v>20</v>
      </c>
      <c r="D379" s="5">
        <v>0.0</v>
      </c>
      <c r="E379" s="4" t="s">
        <v>16</v>
      </c>
      <c r="F379" s="4" t="s">
        <v>15</v>
      </c>
      <c r="G379" s="4">
        <v>4310.0</v>
      </c>
      <c r="H379" s="4">
        <v>0.0</v>
      </c>
      <c r="I379" s="4">
        <v>130.0</v>
      </c>
      <c r="J379" s="4">
        <v>360.0</v>
      </c>
      <c r="K379" s="4">
        <v>1.0</v>
      </c>
      <c r="L379" s="4" t="s">
        <v>33</v>
      </c>
      <c r="M379" s="4" t="s">
        <v>18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 t="s">
        <v>422</v>
      </c>
      <c r="B380" s="4" t="s">
        <v>14</v>
      </c>
      <c r="C380" s="4" t="s">
        <v>15</v>
      </c>
      <c r="D380" s="5">
        <v>0.0</v>
      </c>
      <c r="E380" s="4" t="s">
        <v>16</v>
      </c>
      <c r="F380" s="4" t="s">
        <v>15</v>
      </c>
      <c r="G380" s="4">
        <v>3069.0</v>
      </c>
      <c r="H380" s="4">
        <v>0.0</v>
      </c>
      <c r="I380" s="4">
        <v>71.0</v>
      </c>
      <c r="J380" s="4">
        <v>480.0</v>
      </c>
      <c r="K380" s="4">
        <v>1.0</v>
      </c>
      <c r="L380" s="4" t="s">
        <v>17</v>
      </c>
      <c r="M380" s="4" t="s">
        <v>22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 t="s">
        <v>423</v>
      </c>
      <c r="B381" s="4" t="s">
        <v>14</v>
      </c>
      <c r="C381" s="4" t="s">
        <v>20</v>
      </c>
      <c r="D381" s="5">
        <v>2.0</v>
      </c>
      <c r="E381" s="4" t="s">
        <v>16</v>
      </c>
      <c r="F381" s="4" t="s">
        <v>15</v>
      </c>
      <c r="G381" s="4">
        <v>5391.0</v>
      </c>
      <c r="H381" s="4">
        <v>0.0</v>
      </c>
      <c r="I381" s="4">
        <v>130.0</v>
      </c>
      <c r="J381" s="4">
        <v>360.0</v>
      </c>
      <c r="K381" s="4">
        <v>1.0</v>
      </c>
      <c r="L381" s="4" t="s">
        <v>17</v>
      </c>
      <c r="M381" s="4" t="s">
        <v>18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 t="s">
        <v>424</v>
      </c>
      <c r="B382" s="4" t="s">
        <v>14</v>
      </c>
      <c r="C382" s="4" t="s">
        <v>20</v>
      </c>
      <c r="D382" s="5">
        <v>0.0</v>
      </c>
      <c r="E382" s="4" t="s">
        <v>16</v>
      </c>
      <c r="F382" s="4" t="s">
        <v>15</v>
      </c>
      <c r="G382" s="4">
        <v>3333.0</v>
      </c>
      <c r="H382" s="4">
        <v>2500.0</v>
      </c>
      <c r="I382" s="4">
        <v>128.0</v>
      </c>
      <c r="J382" s="4">
        <v>360.0</v>
      </c>
      <c r="K382" s="4">
        <v>1.0</v>
      </c>
      <c r="L382" s="4" t="s">
        <v>33</v>
      </c>
      <c r="M382" s="4" t="s">
        <v>18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 t="s">
        <v>425</v>
      </c>
      <c r="B383" s="4" t="s">
        <v>14</v>
      </c>
      <c r="C383" s="4" t="s">
        <v>15</v>
      </c>
      <c r="D383" s="5">
        <v>0.0</v>
      </c>
      <c r="E383" s="4" t="s">
        <v>16</v>
      </c>
      <c r="F383" s="4" t="s">
        <v>15</v>
      </c>
      <c r="G383" s="4">
        <v>5941.0</v>
      </c>
      <c r="H383" s="4">
        <v>4232.0</v>
      </c>
      <c r="I383" s="4">
        <v>296.0</v>
      </c>
      <c r="J383" s="4">
        <v>360.0</v>
      </c>
      <c r="K383" s="4">
        <v>1.0</v>
      </c>
      <c r="L383" s="4" t="s">
        <v>33</v>
      </c>
      <c r="M383" s="4" t="s">
        <v>18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 t="s">
        <v>426</v>
      </c>
      <c r="B384" s="4" t="s">
        <v>54</v>
      </c>
      <c r="C384" s="4" t="s">
        <v>15</v>
      </c>
      <c r="D384" s="5">
        <v>0.0</v>
      </c>
      <c r="E384" s="4" t="s">
        <v>16</v>
      </c>
      <c r="F384" s="4" t="s">
        <v>15</v>
      </c>
      <c r="G384" s="4">
        <v>6000.0</v>
      </c>
      <c r="H384" s="4">
        <v>0.0</v>
      </c>
      <c r="I384" s="4">
        <v>156.0</v>
      </c>
      <c r="J384" s="4">
        <v>360.0</v>
      </c>
      <c r="K384" s="4">
        <v>1.0</v>
      </c>
      <c r="L384" s="4" t="s">
        <v>17</v>
      </c>
      <c r="M384" s="4" t="s">
        <v>18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 t="s">
        <v>427</v>
      </c>
      <c r="B385" s="4" t="s">
        <v>14</v>
      </c>
      <c r="C385" s="4" t="s">
        <v>15</v>
      </c>
      <c r="D385" s="5">
        <v>0.0</v>
      </c>
      <c r="E385" s="4" t="s">
        <v>16</v>
      </c>
      <c r="F385" s="4" t="s">
        <v>20</v>
      </c>
      <c r="G385" s="4">
        <v>7167.0</v>
      </c>
      <c r="H385" s="4">
        <v>0.0</v>
      </c>
      <c r="I385" s="4">
        <v>128.0</v>
      </c>
      <c r="J385" s="4">
        <v>360.0</v>
      </c>
      <c r="K385" s="4">
        <v>1.0</v>
      </c>
      <c r="L385" s="4" t="s">
        <v>17</v>
      </c>
      <c r="M385" s="4" t="s">
        <v>18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 t="s">
        <v>428</v>
      </c>
      <c r="B386" s="4" t="s">
        <v>14</v>
      </c>
      <c r="C386" s="4" t="s">
        <v>20</v>
      </c>
      <c r="D386" s="5">
        <v>2.0</v>
      </c>
      <c r="E386" s="4" t="s">
        <v>16</v>
      </c>
      <c r="F386" s="4" t="s">
        <v>15</v>
      </c>
      <c r="G386" s="4">
        <v>4566.0</v>
      </c>
      <c r="H386" s="4">
        <v>0.0</v>
      </c>
      <c r="I386" s="4">
        <v>100.0</v>
      </c>
      <c r="J386" s="4">
        <v>360.0</v>
      </c>
      <c r="K386" s="4">
        <v>1.0</v>
      </c>
      <c r="L386" s="4" t="s">
        <v>17</v>
      </c>
      <c r="M386" s="4" t="s">
        <v>22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 t="s">
        <v>429</v>
      </c>
      <c r="B387" s="4" t="s">
        <v>14</v>
      </c>
      <c r="C387" s="4" t="s">
        <v>15</v>
      </c>
      <c r="D387" s="5">
        <v>1.0</v>
      </c>
      <c r="E387" s="4" t="s">
        <v>16</v>
      </c>
      <c r="F387" s="4" t="s">
        <v>15</v>
      </c>
      <c r="G387" s="4">
        <v>3667.0</v>
      </c>
      <c r="H387" s="4">
        <v>0.0</v>
      </c>
      <c r="I387" s="4">
        <v>113.0</v>
      </c>
      <c r="J387" s="4">
        <v>180.0</v>
      </c>
      <c r="K387" s="4">
        <v>1.0</v>
      </c>
      <c r="L387" s="4" t="s">
        <v>17</v>
      </c>
      <c r="M387" s="4" t="s">
        <v>18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 t="s">
        <v>430</v>
      </c>
      <c r="B388" s="4" t="s">
        <v>14</v>
      </c>
      <c r="C388" s="4" t="s">
        <v>15</v>
      </c>
      <c r="D388" s="5">
        <v>0.0</v>
      </c>
      <c r="E388" s="4" t="s">
        <v>25</v>
      </c>
      <c r="F388" s="4" t="s">
        <v>15</v>
      </c>
      <c r="G388" s="4">
        <v>2346.0</v>
      </c>
      <c r="H388" s="4">
        <v>1600.0</v>
      </c>
      <c r="I388" s="4">
        <v>132.0</v>
      </c>
      <c r="J388" s="4">
        <v>360.0</v>
      </c>
      <c r="K388" s="4">
        <v>1.0</v>
      </c>
      <c r="L388" s="4" t="s">
        <v>33</v>
      </c>
      <c r="M388" s="4" t="s">
        <v>18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 t="s">
        <v>431</v>
      </c>
      <c r="B389" s="4" t="s">
        <v>14</v>
      </c>
      <c r="C389" s="4" t="s">
        <v>20</v>
      </c>
      <c r="D389" s="5">
        <v>0.0</v>
      </c>
      <c r="E389" s="4" t="s">
        <v>25</v>
      </c>
      <c r="F389" s="4" t="s">
        <v>15</v>
      </c>
      <c r="G389" s="4">
        <v>3010.0</v>
      </c>
      <c r="H389" s="4">
        <v>3136.0</v>
      </c>
      <c r="I389" s="4">
        <v>128.0</v>
      </c>
      <c r="J389" s="4">
        <v>360.0</v>
      </c>
      <c r="K389" s="4">
        <v>0.0</v>
      </c>
      <c r="L389" s="4" t="s">
        <v>17</v>
      </c>
      <c r="M389" s="4" t="s">
        <v>22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 t="s">
        <v>432</v>
      </c>
      <c r="B390" s="4" t="s">
        <v>14</v>
      </c>
      <c r="C390" s="4" t="s">
        <v>20</v>
      </c>
      <c r="D390" s="5">
        <v>0.0</v>
      </c>
      <c r="E390" s="4" t="s">
        <v>16</v>
      </c>
      <c r="F390" s="4" t="s">
        <v>15</v>
      </c>
      <c r="G390" s="4">
        <v>2333.0</v>
      </c>
      <c r="H390" s="4">
        <v>2417.0</v>
      </c>
      <c r="I390" s="4">
        <v>136.0</v>
      </c>
      <c r="J390" s="4">
        <v>360.0</v>
      </c>
      <c r="K390" s="4">
        <v>1.0</v>
      </c>
      <c r="L390" s="4" t="s">
        <v>17</v>
      </c>
      <c r="M390" s="4" t="s">
        <v>18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 t="s">
        <v>433</v>
      </c>
      <c r="B391" s="4" t="s">
        <v>14</v>
      </c>
      <c r="C391" s="4" t="s">
        <v>20</v>
      </c>
      <c r="D391" s="5">
        <v>0.0</v>
      </c>
      <c r="E391" s="4" t="s">
        <v>16</v>
      </c>
      <c r="F391" s="4" t="s">
        <v>15</v>
      </c>
      <c r="G391" s="4">
        <v>5488.0</v>
      </c>
      <c r="H391" s="4">
        <v>0.0</v>
      </c>
      <c r="I391" s="4">
        <v>125.0</v>
      </c>
      <c r="J391" s="4">
        <v>360.0</v>
      </c>
      <c r="K391" s="4">
        <v>1.0</v>
      </c>
      <c r="L391" s="4" t="s">
        <v>21</v>
      </c>
      <c r="M391" s="4" t="s">
        <v>18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 t="s">
        <v>434</v>
      </c>
      <c r="B392" s="4" t="s">
        <v>14</v>
      </c>
      <c r="C392" s="4" t="s">
        <v>15</v>
      </c>
      <c r="D392" s="5" t="s">
        <v>32</v>
      </c>
      <c r="E392" s="4" t="s">
        <v>16</v>
      </c>
      <c r="F392" s="4" t="s">
        <v>15</v>
      </c>
      <c r="G392" s="4">
        <v>9167.0</v>
      </c>
      <c r="H392" s="4">
        <v>0.0</v>
      </c>
      <c r="I392" s="4">
        <v>185.0</v>
      </c>
      <c r="J392" s="4">
        <v>360.0</v>
      </c>
      <c r="K392" s="4">
        <v>1.0</v>
      </c>
      <c r="L392" s="4" t="s">
        <v>21</v>
      </c>
      <c r="M392" s="4" t="s">
        <v>18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 t="s">
        <v>435</v>
      </c>
      <c r="B393" s="4" t="s">
        <v>14</v>
      </c>
      <c r="C393" s="4" t="s">
        <v>20</v>
      </c>
      <c r="D393" s="5" t="s">
        <v>32</v>
      </c>
      <c r="E393" s="4" t="s">
        <v>16</v>
      </c>
      <c r="F393" s="4" t="s">
        <v>15</v>
      </c>
      <c r="G393" s="4">
        <v>9504.0</v>
      </c>
      <c r="H393" s="4">
        <v>0.0</v>
      </c>
      <c r="I393" s="4">
        <v>275.0</v>
      </c>
      <c r="J393" s="4">
        <v>360.0</v>
      </c>
      <c r="K393" s="4">
        <v>1.0</v>
      </c>
      <c r="L393" s="4" t="s">
        <v>21</v>
      </c>
      <c r="M393" s="4" t="s">
        <v>18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 t="s">
        <v>436</v>
      </c>
      <c r="B394" s="4" t="s">
        <v>14</v>
      </c>
      <c r="C394" s="4" t="s">
        <v>20</v>
      </c>
      <c r="D394" s="5">
        <v>0.0</v>
      </c>
      <c r="E394" s="4" t="s">
        <v>16</v>
      </c>
      <c r="F394" s="4" t="s">
        <v>15</v>
      </c>
      <c r="G394" s="4">
        <v>2583.0</v>
      </c>
      <c r="H394" s="4">
        <v>2115.0</v>
      </c>
      <c r="I394" s="4">
        <v>120.0</v>
      </c>
      <c r="J394" s="4">
        <v>360.0</v>
      </c>
      <c r="K394" s="4">
        <v>1.0</v>
      </c>
      <c r="L394" s="4" t="s">
        <v>17</v>
      </c>
      <c r="M394" s="4" t="s">
        <v>18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 t="s">
        <v>437</v>
      </c>
      <c r="B395" s="4" t="s">
        <v>14</v>
      </c>
      <c r="C395" s="4" t="s">
        <v>20</v>
      </c>
      <c r="D395" s="5">
        <v>2.0</v>
      </c>
      <c r="E395" s="4" t="s">
        <v>25</v>
      </c>
      <c r="F395" s="4" t="s">
        <v>15</v>
      </c>
      <c r="G395" s="4">
        <v>1993.0</v>
      </c>
      <c r="H395" s="4">
        <v>1625.0</v>
      </c>
      <c r="I395" s="4">
        <v>113.0</v>
      </c>
      <c r="J395" s="4">
        <v>180.0</v>
      </c>
      <c r="K395" s="4">
        <v>1.0</v>
      </c>
      <c r="L395" s="4" t="s">
        <v>33</v>
      </c>
      <c r="M395" s="4" t="s">
        <v>18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 t="s">
        <v>438</v>
      </c>
      <c r="B396" s="4" t="s">
        <v>14</v>
      </c>
      <c r="C396" s="4" t="s">
        <v>20</v>
      </c>
      <c r="D396" s="5">
        <v>2.0</v>
      </c>
      <c r="E396" s="4" t="s">
        <v>16</v>
      </c>
      <c r="F396" s="4" t="s">
        <v>15</v>
      </c>
      <c r="G396" s="4">
        <v>3100.0</v>
      </c>
      <c r="H396" s="4">
        <v>1400.0</v>
      </c>
      <c r="I396" s="4">
        <v>113.0</v>
      </c>
      <c r="J396" s="4">
        <v>360.0</v>
      </c>
      <c r="K396" s="4">
        <v>1.0</v>
      </c>
      <c r="L396" s="4" t="s">
        <v>17</v>
      </c>
      <c r="M396" s="4" t="s">
        <v>18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 t="s">
        <v>439</v>
      </c>
      <c r="B397" s="4" t="s">
        <v>14</v>
      </c>
      <c r="C397" s="4" t="s">
        <v>20</v>
      </c>
      <c r="D397" s="5">
        <v>2.0</v>
      </c>
      <c r="E397" s="4" t="s">
        <v>16</v>
      </c>
      <c r="F397" s="4" t="s">
        <v>15</v>
      </c>
      <c r="G397" s="4">
        <v>3276.0</v>
      </c>
      <c r="H397" s="4">
        <v>484.0</v>
      </c>
      <c r="I397" s="4">
        <v>135.0</v>
      </c>
      <c r="J397" s="4">
        <v>360.0</v>
      </c>
      <c r="K397" s="4">
        <v>1.0</v>
      </c>
      <c r="L397" s="4" t="s">
        <v>33</v>
      </c>
      <c r="M397" s="4" t="s">
        <v>18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 t="s">
        <v>440</v>
      </c>
      <c r="B398" s="4" t="s">
        <v>54</v>
      </c>
      <c r="C398" s="4" t="s">
        <v>15</v>
      </c>
      <c r="D398" s="5">
        <v>0.0</v>
      </c>
      <c r="E398" s="4" t="s">
        <v>16</v>
      </c>
      <c r="F398" s="4" t="s">
        <v>15</v>
      </c>
      <c r="G398" s="4">
        <v>3180.0</v>
      </c>
      <c r="H398" s="4">
        <v>0.0</v>
      </c>
      <c r="I398" s="4">
        <v>71.0</v>
      </c>
      <c r="J398" s="4">
        <v>360.0</v>
      </c>
      <c r="K398" s="4">
        <v>0.0</v>
      </c>
      <c r="L398" s="4" t="s">
        <v>17</v>
      </c>
      <c r="M398" s="4" t="s">
        <v>22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 t="s">
        <v>441</v>
      </c>
      <c r="B399" s="4" t="s">
        <v>14</v>
      </c>
      <c r="C399" s="4" t="s">
        <v>20</v>
      </c>
      <c r="D399" s="5">
        <v>0.0</v>
      </c>
      <c r="E399" s="4" t="s">
        <v>16</v>
      </c>
      <c r="F399" s="4" t="s">
        <v>15</v>
      </c>
      <c r="G399" s="4">
        <v>3033.0</v>
      </c>
      <c r="H399" s="4">
        <v>1459.0</v>
      </c>
      <c r="I399" s="4">
        <v>95.0</v>
      </c>
      <c r="J399" s="4">
        <v>360.0</v>
      </c>
      <c r="K399" s="4">
        <v>1.0</v>
      </c>
      <c r="L399" s="4" t="s">
        <v>17</v>
      </c>
      <c r="M399" s="4" t="s">
        <v>18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">
        <v>442</v>
      </c>
      <c r="B400" s="4" t="s">
        <v>14</v>
      </c>
      <c r="C400" s="4" t="s">
        <v>15</v>
      </c>
      <c r="D400" s="5">
        <v>0.0</v>
      </c>
      <c r="E400" s="4" t="s">
        <v>25</v>
      </c>
      <c r="F400" s="4" t="s">
        <v>15</v>
      </c>
      <c r="G400" s="4">
        <v>3902.0</v>
      </c>
      <c r="H400" s="4">
        <v>1666.0</v>
      </c>
      <c r="I400" s="4">
        <v>109.0</v>
      </c>
      <c r="J400" s="4">
        <v>360.0</v>
      </c>
      <c r="K400" s="4">
        <v>1.0</v>
      </c>
      <c r="L400" s="4" t="s">
        <v>21</v>
      </c>
      <c r="M400" s="4" t="s">
        <v>18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 t="s">
        <v>443</v>
      </c>
      <c r="B401" s="4" t="s">
        <v>54</v>
      </c>
      <c r="C401" s="4" t="s">
        <v>15</v>
      </c>
      <c r="D401" s="5">
        <v>0.0</v>
      </c>
      <c r="E401" s="4" t="s">
        <v>16</v>
      </c>
      <c r="F401" s="4" t="s">
        <v>15</v>
      </c>
      <c r="G401" s="4">
        <v>1500.0</v>
      </c>
      <c r="H401" s="4">
        <v>1800.0</v>
      </c>
      <c r="I401" s="4">
        <v>103.0</v>
      </c>
      <c r="J401" s="4">
        <v>360.0</v>
      </c>
      <c r="K401" s="4">
        <v>0.0</v>
      </c>
      <c r="L401" s="4" t="s">
        <v>33</v>
      </c>
      <c r="M401" s="4" t="s">
        <v>22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 t="s">
        <v>444</v>
      </c>
      <c r="B402" s="4" t="s">
        <v>14</v>
      </c>
      <c r="C402" s="4" t="s">
        <v>20</v>
      </c>
      <c r="D402" s="5">
        <v>2.0</v>
      </c>
      <c r="E402" s="4" t="s">
        <v>25</v>
      </c>
      <c r="F402" s="4" t="s">
        <v>15</v>
      </c>
      <c r="G402" s="4">
        <v>2889.0</v>
      </c>
      <c r="H402" s="4">
        <v>0.0</v>
      </c>
      <c r="I402" s="4">
        <v>45.0</v>
      </c>
      <c r="J402" s="4">
        <v>180.0</v>
      </c>
      <c r="K402" s="4">
        <v>0.0</v>
      </c>
      <c r="L402" s="4" t="s">
        <v>17</v>
      </c>
      <c r="M402" s="4" t="s">
        <v>22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 t="s">
        <v>445</v>
      </c>
      <c r="B403" s="4" t="s">
        <v>14</v>
      </c>
      <c r="C403" s="4" t="s">
        <v>15</v>
      </c>
      <c r="D403" s="5">
        <v>0.0</v>
      </c>
      <c r="E403" s="4" t="s">
        <v>25</v>
      </c>
      <c r="F403" s="4" t="s">
        <v>15</v>
      </c>
      <c r="G403" s="4">
        <v>2755.0</v>
      </c>
      <c r="H403" s="4">
        <v>0.0</v>
      </c>
      <c r="I403" s="4">
        <v>65.0</v>
      </c>
      <c r="J403" s="4">
        <v>300.0</v>
      </c>
      <c r="K403" s="4">
        <v>1.0</v>
      </c>
      <c r="L403" s="4" t="s">
        <v>21</v>
      </c>
      <c r="M403" s="4" t="s">
        <v>22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 t="s">
        <v>446</v>
      </c>
      <c r="B404" s="4" t="s">
        <v>14</v>
      </c>
      <c r="C404" s="4" t="s">
        <v>15</v>
      </c>
      <c r="D404" s="5">
        <v>0.0</v>
      </c>
      <c r="E404" s="4" t="s">
        <v>16</v>
      </c>
      <c r="F404" s="4" t="s">
        <v>15</v>
      </c>
      <c r="G404" s="4">
        <v>2500.0</v>
      </c>
      <c r="H404" s="4">
        <v>20000.0</v>
      </c>
      <c r="I404" s="4">
        <v>103.0</v>
      </c>
      <c r="J404" s="4">
        <v>360.0</v>
      </c>
      <c r="K404" s="4">
        <v>1.0</v>
      </c>
      <c r="L404" s="4" t="s">
        <v>33</v>
      </c>
      <c r="M404" s="4" t="s">
        <v>18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 t="s">
        <v>447</v>
      </c>
      <c r="B405" s="4" t="s">
        <v>54</v>
      </c>
      <c r="C405" s="4" t="s">
        <v>15</v>
      </c>
      <c r="D405" s="5">
        <v>0.0</v>
      </c>
      <c r="E405" s="4" t="s">
        <v>25</v>
      </c>
      <c r="F405" s="4" t="s">
        <v>15</v>
      </c>
      <c r="G405" s="4">
        <v>1963.0</v>
      </c>
      <c r="H405" s="4">
        <v>0.0</v>
      </c>
      <c r="I405" s="4">
        <v>53.0</v>
      </c>
      <c r="J405" s="4">
        <v>360.0</v>
      </c>
      <c r="K405" s="4">
        <v>1.0</v>
      </c>
      <c r="L405" s="4" t="s">
        <v>33</v>
      </c>
      <c r="M405" s="4" t="s">
        <v>18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 t="s">
        <v>448</v>
      </c>
      <c r="B406" s="4" t="s">
        <v>54</v>
      </c>
      <c r="C406" s="4" t="s">
        <v>15</v>
      </c>
      <c r="D406" s="5">
        <v>0.0</v>
      </c>
      <c r="E406" s="4" t="s">
        <v>16</v>
      </c>
      <c r="F406" s="4" t="s">
        <v>20</v>
      </c>
      <c r="G406" s="4">
        <v>7441.0</v>
      </c>
      <c r="H406" s="4">
        <v>0.0</v>
      </c>
      <c r="I406" s="4">
        <v>194.0</v>
      </c>
      <c r="J406" s="4">
        <v>360.0</v>
      </c>
      <c r="K406" s="4">
        <v>1.0</v>
      </c>
      <c r="L406" s="4" t="s">
        <v>21</v>
      </c>
      <c r="M406" s="4" t="s">
        <v>22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 t="s">
        <v>449</v>
      </c>
      <c r="B407" s="4" t="s">
        <v>54</v>
      </c>
      <c r="C407" s="4" t="s">
        <v>15</v>
      </c>
      <c r="D407" s="5">
        <v>0.0</v>
      </c>
      <c r="E407" s="4" t="s">
        <v>16</v>
      </c>
      <c r="F407" s="4" t="s">
        <v>15</v>
      </c>
      <c r="G407" s="4">
        <v>4547.0</v>
      </c>
      <c r="H407" s="4">
        <v>0.0</v>
      </c>
      <c r="I407" s="4">
        <v>115.0</v>
      </c>
      <c r="J407" s="4">
        <v>360.0</v>
      </c>
      <c r="K407" s="4">
        <v>1.0</v>
      </c>
      <c r="L407" s="4" t="s">
        <v>33</v>
      </c>
      <c r="M407" s="4" t="s">
        <v>18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 t="s">
        <v>450</v>
      </c>
      <c r="B408" s="4" t="s">
        <v>14</v>
      </c>
      <c r="C408" s="4" t="s">
        <v>20</v>
      </c>
      <c r="D408" s="5">
        <v>0.0</v>
      </c>
      <c r="E408" s="4" t="s">
        <v>25</v>
      </c>
      <c r="F408" s="4" t="s">
        <v>15</v>
      </c>
      <c r="G408" s="4">
        <v>2167.0</v>
      </c>
      <c r="H408" s="4">
        <v>2400.0</v>
      </c>
      <c r="I408" s="4">
        <v>115.0</v>
      </c>
      <c r="J408" s="4">
        <v>360.0</v>
      </c>
      <c r="K408" s="4">
        <v>1.0</v>
      </c>
      <c r="L408" s="4" t="s">
        <v>17</v>
      </c>
      <c r="M408" s="4" t="s">
        <v>18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 t="s">
        <v>451</v>
      </c>
      <c r="B409" s="4" t="s">
        <v>54</v>
      </c>
      <c r="C409" s="4" t="s">
        <v>15</v>
      </c>
      <c r="D409" s="5">
        <v>0.0</v>
      </c>
      <c r="E409" s="4" t="s">
        <v>25</v>
      </c>
      <c r="F409" s="4" t="s">
        <v>15</v>
      </c>
      <c r="G409" s="4">
        <v>2213.0</v>
      </c>
      <c r="H409" s="4">
        <v>0.0</v>
      </c>
      <c r="I409" s="4">
        <v>66.0</v>
      </c>
      <c r="J409" s="4">
        <v>360.0</v>
      </c>
      <c r="K409" s="4">
        <v>1.0</v>
      </c>
      <c r="L409" s="4" t="s">
        <v>21</v>
      </c>
      <c r="M409" s="4" t="s">
        <v>18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 t="s">
        <v>452</v>
      </c>
      <c r="B410" s="4" t="s">
        <v>14</v>
      </c>
      <c r="C410" s="4" t="s">
        <v>20</v>
      </c>
      <c r="D410" s="5">
        <v>1.0</v>
      </c>
      <c r="E410" s="4" t="s">
        <v>16</v>
      </c>
      <c r="F410" s="4" t="s">
        <v>15</v>
      </c>
      <c r="G410" s="4">
        <v>8300.0</v>
      </c>
      <c r="H410" s="4">
        <v>0.0</v>
      </c>
      <c r="I410" s="4">
        <v>152.0</v>
      </c>
      <c r="J410" s="4">
        <v>300.0</v>
      </c>
      <c r="K410" s="4">
        <v>0.0</v>
      </c>
      <c r="L410" s="4" t="s">
        <v>33</v>
      </c>
      <c r="M410" s="4" t="s">
        <v>22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 t="s">
        <v>453</v>
      </c>
      <c r="B411" s="4" t="s">
        <v>14</v>
      </c>
      <c r="C411" s="4" t="s">
        <v>20</v>
      </c>
      <c r="D411" s="5" t="s">
        <v>32</v>
      </c>
      <c r="E411" s="4" t="s">
        <v>16</v>
      </c>
      <c r="F411" s="4" t="s">
        <v>15</v>
      </c>
      <c r="G411" s="4">
        <v>81000.0</v>
      </c>
      <c r="H411" s="4">
        <v>0.0</v>
      </c>
      <c r="I411" s="4">
        <v>360.0</v>
      </c>
      <c r="J411" s="4">
        <v>360.0</v>
      </c>
      <c r="K411" s="4">
        <v>0.0</v>
      </c>
      <c r="L411" s="4" t="s">
        <v>21</v>
      </c>
      <c r="M411" s="4" t="s">
        <v>22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 t="s">
        <v>454</v>
      </c>
      <c r="B412" s="4" t="s">
        <v>54</v>
      </c>
      <c r="C412" s="4" t="s">
        <v>15</v>
      </c>
      <c r="D412" s="5">
        <v>1.0</v>
      </c>
      <c r="E412" s="4" t="s">
        <v>25</v>
      </c>
      <c r="F412" s="4" t="s">
        <v>20</v>
      </c>
      <c r="G412" s="4">
        <v>3867.0</v>
      </c>
      <c r="H412" s="4">
        <v>0.0</v>
      </c>
      <c r="I412" s="4">
        <v>62.0</v>
      </c>
      <c r="J412" s="4">
        <v>360.0</v>
      </c>
      <c r="K412" s="4">
        <v>1.0</v>
      </c>
      <c r="L412" s="4" t="s">
        <v>33</v>
      </c>
      <c r="M412" s="4" t="s">
        <v>22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 t="s">
        <v>455</v>
      </c>
      <c r="B413" s="4" t="s">
        <v>14</v>
      </c>
      <c r="C413" s="4" t="s">
        <v>20</v>
      </c>
      <c r="D413" s="5">
        <v>0.0</v>
      </c>
      <c r="E413" s="4" t="s">
        <v>16</v>
      </c>
      <c r="F413" s="4" t="s">
        <v>15</v>
      </c>
      <c r="G413" s="4">
        <v>6256.0</v>
      </c>
      <c r="H413" s="4">
        <v>0.0</v>
      </c>
      <c r="I413" s="4">
        <v>160.0</v>
      </c>
      <c r="J413" s="4">
        <v>360.0</v>
      </c>
      <c r="K413" s="4">
        <v>1.0</v>
      </c>
      <c r="L413" s="4" t="s">
        <v>17</v>
      </c>
      <c r="M413" s="4" t="s">
        <v>18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 t="s">
        <v>456</v>
      </c>
      <c r="B414" s="4" t="s">
        <v>14</v>
      </c>
      <c r="C414" s="4" t="s">
        <v>20</v>
      </c>
      <c r="D414" s="5">
        <v>0.0</v>
      </c>
      <c r="E414" s="4" t="s">
        <v>25</v>
      </c>
      <c r="F414" s="4" t="s">
        <v>15</v>
      </c>
      <c r="G414" s="4">
        <v>6096.0</v>
      </c>
      <c r="H414" s="4">
        <v>0.0</v>
      </c>
      <c r="I414" s="4">
        <v>218.0</v>
      </c>
      <c r="J414" s="4">
        <v>360.0</v>
      </c>
      <c r="K414" s="4">
        <v>0.0</v>
      </c>
      <c r="L414" s="4" t="s">
        <v>21</v>
      </c>
      <c r="M414" s="4" t="s">
        <v>22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 t="s">
        <v>457</v>
      </c>
      <c r="B415" s="4" t="s">
        <v>14</v>
      </c>
      <c r="C415" s="4" t="s">
        <v>20</v>
      </c>
      <c r="D415" s="5">
        <v>0.0</v>
      </c>
      <c r="E415" s="4" t="s">
        <v>25</v>
      </c>
      <c r="F415" s="4" t="s">
        <v>15</v>
      </c>
      <c r="G415" s="4">
        <v>2253.0</v>
      </c>
      <c r="H415" s="4">
        <v>2033.0</v>
      </c>
      <c r="I415" s="4">
        <v>110.0</v>
      </c>
      <c r="J415" s="4">
        <v>360.0</v>
      </c>
      <c r="K415" s="4">
        <v>1.0</v>
      </c>
      <c r="L415" s="4" t="s">
        <v>21</v>
      </c>
      <c r="M415" s="4" t="s">
        <v>18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 t="s">
        <v>458</v>
      </c>
      <c r="B416" s="4" t="s">
        <v>54</v>
      </c>
      <c r="C416" s="4" t="s">
        <v>20</v>
      </c>
      <c r="D416" s="5">
        <v>0.0</v>
      </c>
      <c r="E416" s="4" t="s">
        <v>25</v>
      </c>
      <c r="F416" s="4" t="s">
        <v>15</v>
      </c>
      <c r="G416" s="4">
        <v>2149.0</v>
      </c>
      <c r="H416" s="4">
        <v>3237.0</v>
      </c>
      <c r="I416" s="4">
        <v>178.0</v>
      </c>
      <c r="J416" s="4">
        <v>360.0</v>
      </c>
      <c r="K416" s="4">
        <v>0.0</v>
      </c>
      <c r="L416" s="4" t="s">
        <v>33</v>
      </c>
      <c r="M416" s="4" t="s">
        <v>22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 t="s">
        <v>459</v>
      </c>
      <c r="B417" s="4" t="s">
        <v>54</v>
      </c>
      <c r="C417" s="4" t="s">
        <v>15</v>
      </c>
      <c r="D417" s="5">
        <v>0.0</v>
      </c>
      <c r="E417" s="4" t="s">
        <v>16</v>
      </c>
      <c r="F417" s="4" t="s">
        <v>15</v>
      </c>
      <c r="G417" s="4">
        <v>2995.0</v>
      </c>
      <c r="H417" s="4">
        <v>0.0</v>
      </c>
      <c r="I417" s="4">
        <v>60.0</v>
      </c>
      <c r="J417" s="4">
        <v>360.0</v>
      </c>
      <c r="K417" s="4">
        <v>1.0</v>
      </c>
      <c r="L417" s="4" t="s">
        <v>17</v>
      </c>
      <c r="M417" s="4" t="s">
        <v>18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 t="s">
        <v>460</v>
      </c>
      <c r="B418" s="4" t="s">
        <v>54</v>
      </c>
      <c r="C418" s="4" t="s">
        <v>15</v>
      </c>
      <c r="D418" s="5">
        <v>1.0</v>
      </c>
      <c r="E418" s="4" t="s">
        <v>16</v>
      </c>
      <c r="F418" s="4" t="s">
        <v>15</v>
      </c>
      <c r="G418" s="4">
        <v>2600.0</v>
      </c>
      <c r="H418" s="4">
        <v>0.0</v>
      </c>
      <c r="I418" s="4">
        <v>160.0</v>
      </c>
      <c r="J418" s="4">
        <v>360.0</v>
      </c>
      <c r="K418" s="4">
        <v>1.0</v>
      </c>
      <c r="L418" s="4" t="s">
        <v>17</v>
      </c>
      <c r="M418" s="4" t="s">
        <v>22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 t="s">
        <v>461</v>
      </c>
      <c r="B419" s="4" t="s">
        <v>14</v>
      </c>
      <c r="C419" s="4" t="s">
        <v>20</v>
      </c>
      <c r="D419" s="5">
        <v>2.0</v>
      </c>
      <c r="E419" s="4" t="s">
        <v>16</v>
      </c>
      <c r="F419" s="4" t="s">
        <v>20</v>
      </c>
      <c r="G419" s="4">
        <v>1600.0</v>
      </c>
      <c r="H419" s="4">
        <v>20000.0</v>
      </c>
      <c r="I419" s="4">
        <v>239.0</v>
      </c>
      <c r="J419" s="4">
        <v>360.0</v>
      </c>
      <c r="K419" s="4">
        <v>1.0</v>
      </c>
      <c r="L419" s="4" t="s">
        <v>17</v>
      </c>
      <c r="M419" s="4" t="s">
        <v>22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 t="s">
        <v>462</v>
      </c>
      <c r="B420" s="4" t="s">
        <v>14</v>
      </c>
      <c r="C420" s="4" t="s">
        <v>20</v>
      </c>
      <c r="D420" s="5">
        <v>0.0</v>
      </c>
      <c r="E420" s="4" t="s">
        <v>16</v>
      </c>
      <c r="F420" s="4" t="s">
        <v>15</v>
      </c>
      <c r="G420" s="4">
        <v>1025.0</v>
      </c>
      <c r="H420" s="4">
        <v>2773.0</v>
      </c>
      <c r="I420" s="4">
        <v>112.0</v>
      </c>
      <c r="J420" s="4">
        <v>360.0</v>
      </c>
      <c r="K420" s="4">
        <v>1.0</v>
      </c>
      <c r="L420" s="4" t="s">
        <v>21</v>
      </c>
      <c r="M420" s="4" t="s">
        <v>18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 t="s">
        <v>463</v>
      </c>
      <c r="B421" s="4" t="s">
        <v>14</v>
      </c>
      <c r="C421" s="4" t="s">
        <v>20</v>
      </c>
      <c r="D421" s="5">
        <v>0.0</v>
      </c>
      <c r="E421" s="4" t="s">
        <v>16</v>
      </c>
      <c r="F421" s="4" t="s">
        <v>15</v>
      </c>
      <c r="G421" s="4">
        <v>3246.0</v>
      </c>
      <c r="H421" s="4">
        <v>1417.0</v>
      </c>
      <c r="I421" s="4">
        <v>138.0</v>
      </c>
      <c r="J421" s="4">
        <v>360.0</v>
      </c>
      <c r="K421" s="4">
        <v>1.0</v>
      </c>
      <c r="L421" s="4" t="s">
        <v>33</v>
      </c>
      <c r="M421" s="4" t="s">
        <v>18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 t="s">
        <v>464</v>
      </c>
      <c r="B422" s="4" t="s">
        <v>14</v>
      </c>
      <c r="C422" s="4" t="s">
        <v>20</v>
      </c>
      <c r="D422" s="5">
        <v>0.0</v>
      </c>
      <c r="E422" s="4" t="s">
        <v>16</v>
      </c>
      <c r="F422" s="4" t="s">
        <v>15</v>
      </c>
      <c r="G422" s="4">
        <v>5829.0</v>
      </c>
      <c r="H422" s="4">
        <v>0.0</v>
      </c>
      <c r="I422" s="4">
        <v>138.0</v>
      </c>
      <c r="J422" s="4">
        <v>360.0</v>
      </c>
      <c r="K422" s="4">
        <v>1.0</v>
      </c>
      <c r="L422" s="4" t="s">
        <v>21</v>
      </c>
      <c r="M422" s="4" t="s">
        <v>18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 t="s">
        <v>465</v>
      </c>
      <c r="B423" s="4" t="s">
        <v>54</v>
      </c>
      <c r="C423" s="4" t="s">
        <v>15</v>
      </c>
      <c r="D423" s="5">
        <v>0.0</v>
      </c>
      <c r="E423" s="4" t="s">
        <v>25</v>
      </c>
      <c r="F423" s="4" t="s">
        <v>15</v>
      </c>
      <c r="G423" s="4">
        <v>2720.0</v>
      </c>
      <c r="H423" s="4">
        <v>0.0</v>
      </c>
      <c r="I423" s="4">
        <v>80.0</v>
      </c>
      <c r="J423" s="4">
        <v>360.0</v>
      </c>
      <c r="K423" s="4">
        <v>0.0</v>
      </c>
      <c r="L423" s="4" t="s">
        <v>17</v>
      </c>
      <c r="M423" s="4" t="s">
        <v>22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 t="s">
        <v>466</v>
      </c>
      <c r="B424" s="4" t="s">
        <v>14</v>
      </c>
      <c r="C424" s="4" t="s">
        <v>20</v>
      </c>
      <c r="D424" s="5">
        <v>0.0</v>
      </c>
      <c r="E424" s="4" t="s">
        <v>16</v>
      </c>
      <c r="F424" s="4" t="s">
        <v>15</v>
      </c>
      <c r="G424" s="4">
        <v>1820.0</v>
      </c>
      <c r="H424" s="4">
        <v>1719.0</v>
      </c>
      <c r="I424" s="4">
        <v>100.0</v>
      </c>
      <c r="J424" s="4">
        <v>360.0</v>
      </c>
      <c r="K424" s="4">
        <v>1.0</v>
      </c>
      <c r="L424" s="4" t="s">
        <v>17</v>
      </c>
      <c r="M424" s="4" t="s">
        <v>18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 t="s">
        <v>467</v>
      </c>
      <c r="B425" s="4" t="s">
        <v>14</v>
      </c>
      <c r="C425" s="4" t="s">
        <v>20</v>
      </c>
      <c r="D425" s="5">
        <v>1.0</v>
      </c>
      <c r="E425" s="4" t="s">
        <v>16</v>
      </c>
      <c r="F425" s="4" t="s">
        <v>15</v>
      </c>
      <c r="G425" s="4">
        <v>7250.0</v>
      </c>
      <c r="H425" s="4">
        <v>1667.0</v>
      </c>
      <c r="I425" s="4">
        <v>110.0</v>
      </c>
      <c r="J425" s="4">
        <v>360.0</v>
      </c>
      <c r="K425" s="4">
        <v>0.0</v>
      </c>
      <c r="L425" s="4" t="s">
        <v>17</v>
      </c>
      <c r="M425" s="4" t="s">
        <v>22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 t="s">
        <v>468</v>
      </c>
      <c r="B426" s="4" t="s">
        <v>14</v>
      </c>
      <c r="C426" s="4" t="s">
        <v>20</v>
      </c>
      <c r="D426" s="5">
        <v>0.0</v>
      </c>
      <c r="E426" s="4" t="s">
        <v>16</v>
      </c>
      <c r="F426" s="4" t="s">
        <v>15</v>
      </c>
      <c r="G426" s="4">
        <v>14880.0</v>
      </c>
      <c r="H426" s="4">
        <v>0.0</v>
      </c>
      <c r="I426" s="4">
        <v>96.0</v>
      </c>
      <c r="J426" s="4">
        <v>360.0</v>
      </c>
      <c r="K426" s="4">
        <v>1.0</v>
      </c>
      <c r="L426" s="4" t="s">
        <v>33</v>
      </c>
      <c r="M426" s="4" t="s">
        <v>18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 t="s">
        <v>469</v>
      </c>
      <c r="B427" s="4" t="s">
        <v>14</v>
      </c>
      <c r="C427" s="4" t="s">
        <v>20</v>
      </c>
      <c r="D427" s="5">
        <v>0.0</v>
      </c>
      <c r="E427" s="4" t="s">
        <v>16</v>
      </c>
      <c r="F427" s="4" t="s">
        <v>15</v>
      </c>
      <c r="G427" s="4">
        <v>2666.0</v>
      </c>
      <c r="H427" s="4">
        <v>4300.0</v>
      </c>
      <c r="I427" s="4">
        <v>121.0</v>
      </c>
      <c r="J427" s="4">
        <v>360.0</v>
      </c>
      <c r="K427" s="4">
        <v>1.0</v>
      </c>
      <c r="L427" s="4" t="s">
        <v>21</v>
      </c>
      <c r="M427" s="4" t="s">
        <v>18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 t="s">
        <v>470</v>
      </c>
      <c r="B428" s="4" t="s">
        <v>54</v>
      </c>
      <c r="C428" s="4" t="s">
        <v>15</v>
      </c>
      <c r="D428" s="5">
        <v>1.0</v>
      </c>
      <c r="E428" s="4" t="s">
        <v>25</v>
      </c>
      <c r="F428" s="4" t="s">
        <v>15</v>
      </c>
      <c r="G428" s="4">
        <v>4606.0</v>
      </c>
      <c r="H428" s="4">
        <v>0.0</v>
      </c>
      <c r="I428" s="4">
        <v>81.0</v>
      </c>
      <c r="J428" s="4">
        <v>360.0</v>
      </c>
      <c r="K428" s="4">
        <v>1.0</v>
      </c>
      <c r="L428" s="4" t="s">
        <v>21</v>
      </c>
      <c r="M428" s="4" t="s">
        <v>22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 t="s">
        <v>471</v>
      </c>
      <c r="B429" s="4" t="s">
        <v>14</v>
      </c>
      <c r="C429" s="4" t="s">
        <v>20</v>
      </c>
      <c r="D429" s="5">
        <v>2.0</v>
      </c>
      <c r="E429" s="4" t="s">
        <v>16</v>
      </c>
      <c r="F429" s="4" t="s">
        <v>15</v>
      </c>
      <c r="G429" s="4">
        <v>5935.0</v>
      </c>
      <c r="H429" s="4">
        <v>0.0</v>
      </c>
      <c r="I429" s="4">
        <v>133.0</v>
      </c>
      <c r="J429" s="4">
        <v>360.0</v>
      </c>
      <c r="K429" s="4">
        <v>1.0</v>
      </c>
      <c r="L429" s="4" t="s">
        <v>33</v>
      </c>
      <c r="M429" s="4" t="s">
        <v>18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 t="s">
        <v>472</v>
      </c>
      <c r="B430" s="4" t="s">
        <v>14</v>
      </c>
      <c r="C430" s="4" t="s">
        <v>20</v>
      </c>
      <c r="D430" s="5">
        <v>0.0</v>
      </c>
      <c r="E430" s="4" t="s">
        <v>16</v>
      </c>
      <c r="F430" s="4" t="s">
        <v>15</v>
      </c>
      <c r="G430" s="4">
        <v>2920.0</v>
      </c>
      <c r="H430" s="4">
        <v>16.12000084</v>
      </c>
      <c r="I430" s="4">
        <v>87.0</v>
      </c>
      <c r="J430" s="4">
        <v>360.0</v>
      </c>
      <c r="K430" s="4">
        <v>1.0</v>
      </c>
      <c r="L430" s="4" t="s">
        <v>21</v>
      </c>
      <c r="M430" s="4" t="s">
        <v>18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 t="s">
        <v>473</v>
      </c>
      <c r="B431" s="4" t="s">
        <v>14</v>
      </c>
      <c r="C431" s="4" t="s">
        <v>15</v>
      </c>
      <c r="D431" s="5">
        <v>0.0</v>
      </c>
      <c r="E431" s="4" t="s">
        <v>25</v>
      </c>
      <c r="F431" s="4" t="s">
        <v>15</v>
      </c>
      <c r="G431" s="4">
        <v>2717.0</v>
      </c>
      <c r="H431" s="4">
        <v>0.0</v>
      </c>
      <c r="I431" s="4">
        <v>60.0</v>
      </c>
      <c r="J431" s="4">
        <v>180.0</v>
      </c>
      <c r="K431" s="4">
        <v>1.0</v>
      </c>
      <c r="L431" s="4" t="s">
        <v>17</v>
      </c>
      <c r="M431" s="4" t="s">
        <v>18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 t="s">
        <v>474</v>
      </c>
      <c r="B432" s="4" t="s">
        <v>54</v>
      </c>
      <c r="C432" s="4" t="s">
        <v>15</v>
      </c>
      <c r="D432" s="5">
        <v>1.0</v>
      </c>
      <c r="E432" s="4" t="s">
        <v>16</v>
      </c>
      <c r="F432" s="4" t="s">
        <v>20</v>
      </c>
      <c r="G432" s="4">
        <v>8624.0</v>
      </c>
      <c r="H432" s="4">
        <v>0.0</v>
      </c>
      <c r="I432" s="4">
        <v>150.0</v>
      </c>
      <c r="J432" s="4">
        <v>360.0</v>
      </c>
      <c r="K432" s="4">
        <v>1.0</v>
      </c>
      <c r="L432" s="4" t="s">
        <v>33</v>
      </c>
      <c r="M432" s="4" t="s">
        <v>18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 t="s">
        <v>475</v>
      </c>
      <c r="B433" s="4" t="s">
        <v>14</v>
      </c>
      <c r="C433" s="4" t="s">
        <v>15</v>
      </c>
      <c r="D433" s="5">
        <v>0.0</v>
      </c>
      <c r="E433" s="4" t="s">
        <v>16</v>
      </c>
      <c r="F433" s="4" t="s">
        <v>15</v>
      </c>
      <c r="G433" s="4">
        <v>6500.0</v>
      </c>
      <c r="H433" s="4">
        <v>0.0</v>
      </c>
      <c r="I433" s="4">
        <v>105.0</v>
      </c>
      <c r="J433" s="4">
        <v>360.0</v>
      </c>
      <c r="K433" s="4">
        <v>0.0</v>
      </c>
      <c r="L433" s="4" t="s">
        <v>21</v>
      </c>
      <c r="M433" s="4" t="s">
        <v>22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476</v>
      </c>
      <c r="B434" s="4" t="s">
        <v>14</v>
      </c>
      <c r="C434" s="4" t="s">
        <v>15</v>
      </c>
      <c r="D434" s="5">
        <v>0.0</v>
      </c>
      <c r="E434" s="4" t="s">
        <v>16</v>
      </c>
      <c r="F434" s="4" t="s">
        <v>15</v>
      </c>
      <c r="G434" s="4">
        <v>12876.0</v>
      </c>
      <c r="H434" s="4">
        <v>0.0</v>
      </c>
      <c r="I434" s="4">
        <v>405.0</v>
      </c>
      <c r="J434" s="4">
        <v>360.0</v>
      </c>
      <c r="K434" s="4">
        <v>1.0</v>
      </c>
      <c r="L434" s="4" t="s">
        <v>33</v>
      </c>
      <c r="M434" s="4" t="s">
        <v>18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 t="s">
        <v>477</v>
      </c>
      <c r="B435" s="4" t="s">
        <v>14</v>
      </c>
      <c r="C435" s="4" t="s">
        <v>20</v>
      </c>
      <c r="D435" s="5">
        <v>0.0</v>
      </c>
      <c r="E435" s="4" t="s">
        <v>16</v>
      </c>
      <c r="F435" s="4" t="s">
        <v>15</v>
      </c>
      <c r="G435" s="4">
        <v>2425.0</v>
      </c>
      <c r="H435" s="4">
        <v>2340.0</v>
      </c>
      <c r="I435" s="4">
        <v>143.0</v>
      </c>
      <c r="J435" s="4">
        <v>360.0</v>
      </c>
      <c r="K435" s="4">
        <v>1.0</v>
      </c>
      <c r="L435" s="4" t="s">
        <v>33</v>
      </c>
      <c r="M435" s="4" t="s">
        <v>18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 t="s">
        <v>478</v>
      </c>
      <c r="B436" s="4" t="s">
        <v>14</v>
      </c>
      <c r="C436" s="4" t="s">
        <v>15</v>
      </c>
      <c r="D436" s="5">
        <v>0.0</v>
      </c>
      <c r="E436" s="4" t="s">
        <v>16</v>
      </c>
      <c r="F436" s="4" t="s">
        <v>15</v>
      </c>
      <c r="G436" s="4">
        <v>3750.0</v>
      </c>
      <c r="H436" s="4">
        <v>0.0</v>
      </c>
      <c r="I436" s="4">
        <v>100.0</v>
      </c>
      <c r="J436" s="4">
        <v>360.0</v>
      </c>
      <c r="K436" s="4">
        <v>1.0</v>
      </c>
      <c r="L436" s="4" t="s">
        <v>17</v>
      </c>
      <c r="M436" s="4" t="s">
        <v>18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 t="s">
        <v>479</v>
      </c>
      <c r="B437" s="4" t="s">
        <v>54</v>
      </c>
      <c r="C437" s="4" t="s">
        <v>20</v>
      </c>
      <c r="D437" s="5">
        <v>0.0</v>
      </c>
      <c r="E437" s="4" t="s">
        <v>16</v>
      </c>
      <c r="F437" s="4" t="s">
        <v>15</v>
      </c>
      <c r="G437" s="4">
        <v>10047.0</v>
      </c>
      <c r="H437" s="4">
        <v>0.0</v>
      </c>
      <c r="I437" s="4">
        <v>128.0</v>
      </c>
      <c r="J437" s="4">
        <v>240.0</v>
      </c>
      <c r="K437" s="4">
        <v>1.0</v>
      </c>
      <c r="L437" s="4" t="s">
        <v>33</v>
      </c>
      <c r="M437" s="4" t="s">
        <v>18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 t="s">
        <v>480</v>
      </c>
      <c r="B438" s="4" t="s">
        <v>14</v>
      </c>
      <c r="C438" s="4" t="s">
        <v>15</v>
      </c>
      <c r="D438" s="5">
        <v>0.0</v>
      </c>
      <c r="E438" s="4" t="s">
        <v>16</v>
      </c>
      <c r="F438" s="4" t="s">
        <v>15</v>
      </c>
      <c r="G438" s="4">
        <v>1926.0</v>
      </c>
      <c r="H438" s="4">
        <v>1851.0</v>
      </c>
      <c r="I438" s="4">
        <v>50.0</v>
      </c>
      <c r="J438" s="4">
        <v>360.0</v>
      </c>
      <c r="K438" s="4">
        <v>1.0</v>
      </c>
      <c r="L438" s="4" t="s">
        <v>33</v>
      </c>
      <c r="M438" s="4" t="s">
        <v>18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 t="s">
        <v>481</v>
      </c>
      <c r="B439" s="4" t="s">
        <v>14</v>
      </c>
      <c r="C439" s="4" t="s">
        <v>20</v>
      </c>
      <c r="D439" s="5">
        <v>0.0</v>
      </c>
      <c r="E439" s="4" t="s">
        <v>16</v>
      </c>
      <c r="F439" s="4" t="s">
        <v>15</v>
      </c>
      <c r="G439" s="4">
        <v>2213.0</v>
      </c>
      <c r="H439" s="4">
        <v>1125.0</v>
      </c>
      <c r="I439" s="4">
        <v>128.0</v>
      </c>
      <c r="J439" s="4">
        <v>360.0</v>
      </c>
      <c r="K439" s="4">
        <v>1.0</v>
      </c>
      <c r="L439" s="4" t="s">
        <v>17</v>
      </c>
      <c r="M439" s="4" t="s">
        <v>18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 t="s">
        <v>482</v>
      </c>
      <c r="B440" s="4" t="s">
        <v>14</v>
      </c>
      <c r="C440" s="4" t="s">
        <v>15</v>
      </c>
      <c r="D440" s="5">
        <v>0.0</v>
      </c>
      <c r="E440" s="4" t="s">
        <v>16</v>
      </c>
      <c r="F440" s="4" t="s">
        <v>20</v>
      </c>
      <c r="G440" s="4">
        <v>10416.0</v>
      </c>
      <c r="H440" s="4">
        <v>0.0</v>
      </c>
      <c r="I440" s="4">
        <v>187.0</v>
      </c>
      <c r="J440" s="4">
        <v>360.0</v>
      </c>
      <c r="K440" s="4">
        <v>0.0</v>
      </c>
      <c r="L440" s="4" t="s">
        <v>17</v>
      </c>
      <c r="M440" s="4" t="s">
        <v>22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 t="s">
        <v>483</v>
      </c>
      <c r="B441" s="4" t="s">
        <v>54</v>
      </c>
      <c r="C441" s="4" t="s">
        <v>20</v>
      </c>
      <c r="D441" s="5">
        <v>0.0</v>
      </c>
      <c r="E441" s="4" t="s">
        <v>25</v>
      </c>
      <c r="F441" s="4" t="s">
        <v>20</v>
      </c>
      <c r="G441" s="4">
        <v>7142.0</v>
      </c>
      <c r="H441" s="4">
        <v>0.0</v>
      </c>
      <c r="I441" s="4">
        <v>138.0</v>
      </c>
      <c r="J441" s="4">
        <v>360.0</v>
      </c>
      <c r="K441" s="4">
        <v>1.0</v>
      </c>
      <c r="L441" s="4" t="s">
        <v>21</v>
      </c>
      <c r="M441" s="4" t="s">
        <v>18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 t="s">
        <v>484</v>
      </c>
      <c r="B442" s="4" t="s">
        <v>14</v>
      </c>
      <c r="C442" s="4" t="s">
        <v>15</v>
      </c>
      <c r="D442" s="5">
        <v>0.0</v>
      </c>
      <c r="E442" s="4" t="s">
        <v>16</v>
      </c>
      <c r="F442" s="4" t="s">
        <v>15</v>
      </c>
      <c r="G442" s="4">
        <v>3660.0</v>
      </c>
      <c r="H442" s="4">
        <v>5064.0</v>
      </c>
      <c r="I442" s="4">
        <v>187.0</v>
      </c>
      <c r="J442" s="4">
        <v>360.0</v>
      </c>
      <c r="K442" s="4">
        <v>1.0</v>
      </c>
      <c r="L442" s="4" t="s">
        <v>33</v>
      </c>
      <c r="M442" s="4" t="s">
        <v>18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 t="s">
        <v>485</v>
      </c>
      <c r="B443" s="4" t="s">
        <v>14</v>
      </c>
      <c r="C443" s="4" t="s">
        <v>20</v>
      </c>
      <c r="D443" s="5">
        <v>0.0</v>
      </c>
      <c r="E443" s="4" t="s">
        <v>16</v>
      </c>
      <c r="F443" s="4" t="s">
        <v>15</v>
      </c>
      <c r="G443" s="4">
        <v>7901.0</v>
      </c>
      <c r="H443" s="4">
        <v>1833.0</v>
      </c>
      <c r="I443" s="4">
        <v>180.0</v>
      </c>
      <c r="J443" s="4">
        <v>360.0</v>
      </c>
      <c r="K443" s="4">
        <v>1.0</v>
      </c>
      <c r="L443" s="4" t="s">
        <v>21</v>
      </c>
      <c r="M443" s="4" t="s">
        <v>18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 t="s">
        <v>486</v>
      </c>
      <c r="B444" s="4" t="s">
        <v>14</v>
      </c>
      <c r="C444" s="4" t="s">
        <v>15</v>
      </c>
      <c r="D444" s="5" t="s">
        <v>32</v>
      </c>
      <c r="E444" s="4" t="s">
        <v>25</v>
      </c>
      <c r="F444" s="4" t="s">
        <v>15</v>
      </c>
      <c r="G444" s="4">
        <v>4707.0</v>
      </c>
      <c r="H444" s="4">
        <v>1993.0</v>
      </c>
      <c r="I444" s="4">
        <v>148.0</v>
      </c>
      <c r="J444" s="4">
        <v>360.0</v>
      </c>
      <c r="K444" s="4">
        <v>1.0</v>
      </c>
      <c r="L444" s="4" t="s">
        <v>33</v>
      </c>
      <c r="M444" s="4" t="s">
        <v>18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 t="s">
        <v>487</v>
      </c>
      <c r="B445" s="4" t="s">
        <v>14</v>
      </c>
      <c r="C445" s="4" t="s">
        <v>15</v>
      </c>
      <c r="D445" s="5">
        <v>1.0</v>
      </c>
      <c r="E445" s="4" t="s">
        <v>16</v>
      </c>
      <c r="F445" s="4" t="s">
        <v>15</v>
      </c>
      <c r="G445" s="4">
        <v>37719.0</v>
      </c>
      <c r="H445" s="4">
        <v>0.0</v>
      </c>
      <c r="I445" s="4">
        <v>152.0</v>
      </c>
      <c r="J445" s="4">
        <v>360.0</v>
      </c>
      <c r="K445" s="4">
        <v>1.0</v>
      </c>
      <c r="L445" s="4" t="s">
        <v>33</v>
      </c>
      <c r="M445" s="4" t="s">
        <v>18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 t="s">
        <v>488</v>
      </c>
      <c r="B446" s="4" t="s">
        <v>14</v>
      </c>
      <c r="C446" s="4" t="s">
        <v>20</v>
      </c>
      <c r="D446" s="5">
        <v>0.0</v>
      </c>
      <c r="E446" s="4" t="s">
        <v>16</v>
      </c>
      <c r="F446" s="4" t="s">
        <v>15</v>
      </c>
      <c r="G446" s="4">
        <v>7333.0</v>
      </c>
      <c r="H446" s="4">
        <v>8333.0</v>
      </c>
      <c r="I446" s="4">
        <v>175.0</v>
      </c>
      <c r="J446" s="4">
        <v>300.0</v>
      </c>
      <c r="K446" s="4">
        <v>1.0</v>
      </c>
      <c r="L446" s="4" t="s">
        <v>21</v>
      </c>
      <c r="M446" s="4" t="s">
        <v>18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 t="s">
        <v>489</v>
      </c>
      <c r="B447" s="4" t="s">
        <v>14</v>
      </c>
      <c r="C447" s="4" t="s">
        <v>20</v>
      </c>
      <c r="D447" s="5">
        <v>1.0</v>
      </c>
      <c r="E447" s="4" t="s">
        <v>16</v>
      </c>
      <c r="F447" s="4" t="s">
        <v>20</v>
      </c>
      <c r="G447" s="4">
        <v>3466.0</v>
      </c>
      <c r="H447" s="4">
        <v>1210.0</v>
      </c>
      <c r="I447" s="4">
        <v>130.0</v>
      </c>
      <c r="J447" s="4">
        <v>360.0</v>
      </c>
      <c r="K447" s="4">
        <v>1.0</v>
      </c>
      <c r="L447" s="4" t="s">
        <v>21</v>
      </c>
      <c r="M447" s="4" t="s">
        <v>18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 t="s">
        <v>490</v>
      </c>
      <c r="B448" s="4" t="s">
        <v>14</v>
      </c>
      <c r="C448" s="4" t="s">
        <v>20</v>
      </c>
      <c r="D448" s="5">
        <v>2.0</v>
      </c>
      <c r="E448" s="4" t="s">
        <v>25</v>
      </c>
      <c r="F448" s="4" t="s">
        <v>15</v>
      </c>
      <c r="G448" s="4">
        <v>4652.0</v>
      </c>
      <c r="H448" s="4">
        <v>0.0</v>
      </c>
      <c r="I448" s="4">
        <v>110.0</v>
      </c>
      <c r="J448" s="4">
        <v>360.0</v>
      </c>
      <c r="K448" s="4">
        <v>1.0</v>
      </c>
      <c r="L448" s="4" t="s">
        <v>21</v>
      </c>
      <c r="M448" s="4" t="s">
        <v>18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 t="s">
        <v>491</v>
      </c>
      <c r="B449" s="4" t="s">
        <v>14</v>
      </c>
      <c r="C449" s="4" t="s">
        <v>20</v>
      </c>
      <c r="D449" s="5">
        <v>0.0</v>
      </c>
      <c r="E449" s="4" t="s">
        <v>16</v>
      </c>
      <c r="F449" s="4" t="s">
        <v>15</v>
      </c>
      <c r="G449" s="4">
        <v>3539.0</v>
      </c>
      <c r="H449" s="4">
        <v>1376.0</v>
      </c>
      <c r="I449" s="4">
        <v>55.0</v>
      </c>
      <c r="J449" s="4">
        <v>360.0</v>
      </c>
      <c r="K449" s="4">
        <v>1.0</v>
      </c>
      <c r="L449" s="4" t="s">
        <v>21</v>
      </c>
      <c r="M449" s="4" t="s">
        <v>22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 t="s">
        <v>492</v>
      </c>
      <c r="B450" s="4" t="s">
        <v>14</v>
      </c>
      <c r="C450" s="4" t="s">
        <v>20</v>
      </c>
      <c r="D450" s="5">
        <v>2.0</v>
      </c>
      <c r="E450" s="4" t="s">
        <v>16</v>
      </c>
      <c r="F450" s="4" t="s">
        <v>15</v>
      </c>
      <c r="G450" s="4">
        <v>3340.0</v>
      </c>
      <c r="H450" s="4">
        <v>1710.0</v>
      </c>
      <c r="I450" s="4">
        <v>150.0</v>
      </c>
      <c r="J450" s="4">
        <v>360.0</v>
      </c>
      <c r="K450" s="4">
        <v>0.0</v>
      </c>
      <c r="L450" s="4" t="s">
        <v>21</v>
      </c>
      <c r="M450" s="4" t="s">
        <v>22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 t="s">
        <v>493</v>
      </c>
      <c r="B451" s="4" t="s">
        <v>14</v>
      </c>
      <c r="C451" s="4" t="s">
        <v>15</v>
      </c>
      <c r="D451" s="5">
        <v>1.0</v>
      </c>
      <c r="E451" s="4" t="s">
        <v>25</v>
      </c>
      <c r="F451" s="4" t="s">
        <v>20</v>
      </c>
      <c r="G451" s="4">
        <v>2769.0</v>
      </c>
      <c r="H451" s="4">
        <v>1542.0</v>
      </c>
      <c r="I451" s="4">
        <v>190.0</v>
      </c>
      <c r="J451" s="4">
        <v>360.0</v>
      </c>
      <c r="K451" s="4">
        <v>1.0</v>
      </c>
      <c r="L451" s="4" t="s">
        <v>33</v>
      </c>
      <c r="M451" s="4" t="s">
        <v>22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 t="s">
        <v>494</v>
      </c>
      <c r="B452" s="4" t="s">
        <v>14</v>
      </c>
      <c r="C452" s="4" t="s">
        <v>20</v>
      </c>
      <c r="D452" s="5">
        <v>2.0</v>
      </c>
      <c r="E452" s="4" t="s">
        <v>25</v>
      </c>
      <c r="F452" s="4" t="s">
        <v>15</v>
      </c>
      <c r="G452" s="4">
        <v>2309.0</v>
      </c>
      <c r="H452" s="4">
        <v>1255.0</v>
      </c>
      <c r="I452" s="4">
        <v>125.0</v>
      </c>
      <c r="J452" s="4">
        <v>360.0</v>
      </c>
      <c r="K452" s="4">
        <v>0.0</v>
      </c>
      <c r="L452" s="4" t="s">
        <v>21</v>
      </c>
      <c r="M452" s="4" t="s">
        <v>22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 t="s">
        <v>495</v>
      </c>
      <c r="B453" s="4" t="s">
        <v>14</v>
      </c>
      <c r="C453" s="4" t="s">
        <v>20</v>
      </c>
      <c r="D453" s="5">
        <v>2.0</v>
      </c>
      <c r="E453" s="4" t="s">
        <v>25</v>
      </c>
      <c r="F453" s="4" t="s">
        <v>15</v>
      </c>
      <c r="G453" s="4">
        <v>1958.0</v>
      </c>
      <c r="H453" s="4">
        <v>1456.0</v>
      </c>
      <c r="I453" s="4">
        <v>60.0</v>
      </c>
      <c r="J453" s="4">
        <v>300.0</v>
      </c>
      <c r="K453" s="4">
        <v>1.0</v>
      </c>
      <c r="L453" s="4" t="s">
        <v>17</v>
      </c>
      <c r="M453" s="4" t="s">
        <v>18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 t="s">
        <v>496</v>
      </c>
      <c r="B454" s="4" t="s">
        <v>14</v>
      </c>
      <c r="C454" s="4" t="s">
        <v>20</v>
      </c>
      <c r="D454" s="5">
        <v>0.0</v>
      </c>
      <c r="E454" s="4" t="s">
        <v>16</v>
      </c>
      <c r="F454" s="4" t="s">
        <v>15</v>
      </c>
      <c r="G454" s="4">
        <v>3948.0</v>
      </c>
      <c r="H454" s="4">
        <v>1733.0</v>
      </c>
      <c r="I454" s="4">
        <v>149.0</v>
      </c>
      <c r="J454" s="4">
        <v>360.0</v>
      </c>
      <c r="K454" s="4">
        <v>0.0</v>
      </c>
      <c r="L454" s="4" t="s">
        <v>21</v>
      </c>
      <c r="M454" s="4" t="s">
        <v>22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 t="s">
        <v>497</v>
      </c>
      <c r="B455" s="4" t="s">
        <v>14</v>
      </c>
      <c r="C455" s="4" t="s">
        <v>20</v>
      </c>
      <c r="D455" s="5">
        <v>0.0</v>
      </c>
      <c r="E455" s="4" t="s">
        <v>16</v>
      </c>
      <c r="F455" s="4" t="s">
        <v>15</v>
      </c>
      <c r="G455" s="4">
        <v>2483.0</v>
      </c>
      <c r="H455" s="4">
        <v>2466.0</v>
      </c>
      <c r="I455" s="4">
        <v>90.0</v>
      </c>
      <c r="J455" s="4">
        <v>180.0</v>
      </c>
      <c r="K455" s="4">
        <v>0.0</v>
      </c>
      <c r="L455" s="4" t="s">
        <v>21</v>
      </c>
      <c r="M455" s="4" t="s">
        <v>18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 t="s">
        <v>498</v>
      </c>
      <c r="B456" s="4" t="s">
        <v>14</v>
      </c>
      <c r="C456" s="4" t="s">
        <v>15</v>
      </c>
      <c r="D456" s="5">
        <v>0.0</v>
      </c>
      <c r="E456" s="4" t="s">
        <v>16</v>
      </c>
      <c r="F456" s="4" t="s">
        <v>20</v>
      </c>
      <c r="G456" s="4">
        <v>7085.0</v>
      </c>
      <c r="H456" s="4">
        <v>0.0</v>
      </c>
      <c r="I456" s="4">
        <v>84.0</v>
      </c>
      <c r="J456" s="4">
        <v>360.0</v>
      </c>
      <c r="K456" s="4">
        <v>1.0</v>
      </c>
      <c r="L456" s="4" t="s">
        <v>33</v>
      </c>
      <c r="M456" s="4" t="s">
        <v>18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 t="s">
        <v>499</v>
      </c>
      <c r="B457" s="4" t="s">
        <v>14</v>
      </c>
      <c r="C457" s="4" t="s">
        <v>20</v>
      </c>
      <c r="D457" s="5">
        <v>2.0</v>
      </c>
      <c r="E457" s="4" t="s">
        <v>16</v>
      </c>
      <c r="F457" s="4" t="s">
        <v>15</v>
      </c>
      <c r="G457" s="4">
        <v>3859.0</v>
      </c>
      <c r="H457" s="4">
        <v>0.0</v>
      </c>
      <c r="I457" s="4">
        <v>96.0</v>
      </c>
      <c r="J457" s="4">
        <v>360.0</v>
      </c>
      <c r="K457" s="4">
        <v>1.0</v>
      </c>
      <c r="L457" s="4" t="s">
        <v>33</v>
      </c>
      <c r="M457" s="4" t="s">
        <v>18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 t="s">
        <v>500</v>
      </c>
      <c r="B458" s="4" t="s">
        <v>14</v>
      </c>
      <c r="C458" s="4" t="s">
        <v>20</v>
      </c>
      <c r="D458" s="5">
        <v>0.0</v>
      </c>
      <c r="E458" s="4" t="s">
        <v>16</v>
      </c>
      <c r="F458" s="4" t="s">
        <v>15</v>
      </c>
      <c r="G458" s="4">
        <v>4301.0</v>
      </c>
      <c r="H458" s="4">
        <v>0.0</v>
      </c>
      <c r="I458" s="4">
        <v>118.0</v>
      </c>
      <c r="J458" s="4">
        <v>360.0</v>
      </c>
      <c r="K458" s="4">
        <v>1.0</v>
      </c>
      <c r="L458" s="4" t="s">
        <v>17</v>
      </c>
      <c r="M458" s="4" t="s">
        <v>18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 t="s">
        <v>501</v>
      </c>
      <c r="B459" s="4" t="s">
        <v>14</v>
      </c>
      <c r="C459" s="4" t="s">
        <v>20</v>
      </c>
      <c r="D459" s="5">
        <v>0.0</v>
      </c>
      <c r="E459" s="4" t="s">
        <v>16</v>
      </c>
      <c r="F459" s="4" t="s">
        <v>15</v>
      </c>
      <c r="G459" s="4">
        <v>3708.0</v>
      </c>
      <c r="H459" s="4">
        <v>2569.0</v>
      </c>
      <c r="I459" s="4">
        <v>173.0</v>
      </c>
      <c r="J459" s="4">
        <v>360.0</v>
      </c>
      <c r="K459" s="4">
        <v>1.0</v>
      </c>
      <c r="L459" s="4" t="s">
        <v>17</v>
      </c>
      <c r="M459" s="4" t="s">
        <v>22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 t="s">
        <v>502</v>
      </c>
      <c r="B460" s="4" t="s">
        <v>14</v>
      </c>
      <c r="C460" s="4" t="s">
        <v>15</v>
      </c>
      <c r="D460" s="5">
        <v>2.0</v>
      </c>
      <c r="E460" s="4" t="s">
        <v>16</v>
      </c>
      <c r="F460" s="4" t="s">
        <v>15</v>
      </c>
      <c r="G460" s="4">
        <v>4354.0</v>
      </c>
      <c r="H460" s="4">
        <v>0.0</v>
      </c>
      <c r="I460" s="4">
        <v>136.0</v>
      </c>
      <c r="J460" s="4">
        <v>360.0</v>
      </c>
      <c r="K460" s="4">
        <v>1.0</v>
      </c>
      <c r="L460" s="4" t="s">
        <v>21</v>
      </c>
      <c r="M460" s="4" t="s">
        <v>18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 t="s">
        <v>503</v>
      </c>
      <c r="B461" s="4" t="s">
        <v>14</v>
      </c>
      <c r="C461" s="4" t="s">
        <v>20</v>
      </c>
      <c r="D461" s="5">
        <v>0.0</v>
      </c>
      <c r="E461" s="4" t="s">
        <v>16</v>
      </c>
      <c r="F461" s="4" t="s">
        <v>15</v>
      </c>
      <c r="G461" s="4">
        <v>8334.0</v>
      </c>
      <c r="H461" s="4">
        <v>0.0</v>
      </c>
      <c r="I461" s="4">
        <v>160.0</v>
      </c>
      <c r="J461" s="4">
        <v>360.0</v>
      </c>
      <c r="K461" s="4">
        <v>1.0</v>
      </c>
      <c r="L461" s="4" t="s">
        <v>33</v>
      </c>
      <c r="M461" s="4" t="s">
        <v>22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 t="s">
        <v>504</v>
      </c>
      <c r="B462" s="4" t="s">
        <v>14</v>
      </c>
      <c r="C462" s="4" t="s">
        <v>20</v>
      </c>
      <c r="D462" s="5">
        <v>0.0</v>
      </c>
      <c r="E462" s="4" t="s">
        <v>16</v>
      </c>
      <c r="F462" s="4" t="s">
        <v>20</v>
      </c>
      <c r="G462" s="4">
        <v>2083.0</v>
      </c>
      <c r="H462" s="4">
        <v>4083.0</v>
      </c>
      <c r="I462" s="4">
        <v>160.0</v>
      </c>
      <c r="J462" s="4">
        <v>360.0</v>
      </c>
      <c r="K462" s="4">
        <v>1.0</v>
      </c>
      <c r="L462" s="4" t="s">
        <v>33</v>
      </c>
      <c r="M462" s="4" t="s">
        <v>18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 t="s">
        <v>505</v>
      </c>
      <c r="B463" s="4" t="s">
        <v>14</v>
      </c>
      <c r="C463" s="4" t="s">
        <v>20</v>
      </c>
      <c r="D463" s="5" t="s">
        <v>32</v>
      </c>
      <c r="E463" s="4" t="s">
        <v>16</v>
      </c>
      <c r="F463" s="4" t="s">
        <v>15</v>
      </c>
      <c r="G463" s="4">
        <v>7740.0</v>
      </c>
      <c r="H463" s="4">
        <v>0.0</v>
      </c>
      <c r="I463" s="4">
        <v>128.0</v>
      </c>
      <c r="J463" s="4">
        <v>180.0</v>
      </c>
      <c r="K463" s="4">
        <v>1.0</v>
      </c>
      <c r="L463" s="4" t="s">
        <v>17</v>
      </c>
      <c r="M463" s="4" t="s">
        <v>18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 t="s">
        <v>506</v>
      </c>
      <c r="B464" s="4" t="s">
        <v>14</v>
      </c>
      <c r="C464" s="4" t="s">
        <v>20</v>
      </c>
      <c r="D464" s="5">
        <v>0.0</v>
      </c>
      <c r="E464" s="4" t="s">
        <v>16</v>
      </c>
      <c r="F464" s="4" t="s">
        <v>15</v>
      </c>
      <c r="G464" s="4">
        <v>3015.0</v>
      </c>
      <c r="H464" s="4">
        <v>2188.0</v>
      </c>
      <c r="I464" s="4">
        <v>153.0</v>
      </c>
      <c r="J464" s="4">
        <v>360.0</v>
      </c>
      <c r="K464" s="4">
        <v>1.0</v>
      </c>
      <c r="L464" s="4" t="s">
        <v>21</v>
      </c>
      <c r="M464" s="4" t="s">
        <v>18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 t="s">
        <v>507</v>
      </c>
      <c r="B465" s="4" t="s">
        <v>54</v>
      </c>
      <c r="C465" s="4" t="s">
        <v>15</v>
      </c>
      <c r="D465" s="5">
        <v>1.0</v>
      </c>
      <c r="E465" s="4" t="s">
        <v>25</v>
      </c>
      <c r="F465" s="4" t="s">
        <v>15</v>
      </c>
      <c r="G465" s="4">
        <v>5191.0</v>
      </c>
      <c r="H465" s="4">
        <v>0.0</v>
      </c>
      <c r="I465" s="4">
        <v>132.0</v>
      </c>
      <c r="J465" s="4">
        <v>360.0</v>
      </c>
      <c r="K465" s="4">
        <v>1.0</v>
      </c>
      <c r="L465" s="4" t="s">
        <v>33</v>
      </c>
      <c r="M465" s="4" t="s">
        <v>18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 t="s">
        <v>508</v>
      </c>
      <c r="B466" s="4" t="s">
        <v>14</v>
      </c>
      <c r="C466" s="4" t="s">
        <v>15</v>
      </c>
      <c r="D466" s="5">
        <v>0.0</v>
      </c>
      <c r="E466" s="4" t="s">
        <v>16</v>
      </c>
      <c r="F466" s="4" t="s">
        <v>15</v>
      </c>
      <c r="G466" s="4">
        <v>4166.0</v>
      </c>
      <c r="H466" s="4">
        <v>0.0</v>
      </c>
      <c r="I466" s="4">
        <v>98.0</v>
      </c>
      <c r="J466" s="4">
        <v>360.0</v>
      </c>
      <c r="K466" s="4">
        <v>0.0</v>
      </c>
      <c r="L466" s="4" t="s">
        <v>33</v>
      </c>
      <c r="M466" s="4" t="s">
        <v>22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 t="s">
        <v>509</v>
      </c>
      <c r="B467" s="4" t="s">
        <v>14</v>
      </c>
      <c r="C467" s="4" t="s">
        <v>15</v>
      </c>
      <c r="D467" s="5">
        <v>0.0</v>
      </c>
      <c r="E467" s="4" t="s">
        <v>16</v>
      </c>
      <c r="F467" s="4" t="s">
        <v>15</v>
      </c>
      <c r="G467" s="4">
        <v>6000.0</v>
      </c>
      <c r="H467" s="4">
        <v>0.0</v>
      </c>
      <c r="I467" s="4">
        <v>140.0</v>
      </c>
      <c r="J467" s="4">
        <v>360.0</v>
      </c>
      <c r="K467" s="4">
        <v>1.0</v>
      </c>
      <c r="L467" s="4" t="s">
        <v>21</v>
      </c>
      <c r="M467" s="4" t="s">
        <v>18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 t="s">
        <v>510</v>
      </c>
      <c r="B468" s="4" t="s">
        <v>14</v>
      </c>
      <c r="C468" s="4" t="s">
        <v>20</v>
      </c>
      <c r="D468" s="5" t="s">
        <v>32</v>
      </c>
      <c r="E468" s="4" t="s">
        <v>25</v>
      </c>
      <c r="F468" s="4" t="s">
        <v>15</v>
      </c>
      <c r="G468" s="4">
        <v>2947.0</v>
      </c>
      <c r="H468" s="4">
        <v>1664.0</v>
      </c>
      <c r="I468" s="4">
        <v>70.0</v>
      </c>
      <c r="J468" s="4">
        <v>180.0</v>
      </c>
      <c r="K468" s="4">
        <v>0.0</v>
      </c>
      <c r="L468" s="4" t="s">
        <v>17</v>
      </c>
      <c r="M468" s="4" t="s">
        <v>22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 t="s">
        <v>511</v>
      </c>
      <c r="B469" s="4" t="s">
        <v>14</v>
      </c>
      <c r="C469" s="4" t="s">
        <v>20</v>
      </c>
      <c r="D469" s="5">
        <v>0.0</v>
      </c>
      <c r="E469" s="4" t="s">
        <v>16</v>
      </c>
      <c r="F469" s="4" t="s">
        <v>15</v>
      </c>
      <c r="G469" s="4">
        <v>16692.0</v>
      </c>
      <c r="H469" s="4">
        <v>0.0</v>
      </c>
      <c r="I469" s="4">
        <v>110.0</v>
      </c>
      <c r="J469" s="4">
        <v>360.0</v>
      </c>
      <c r="K469" s="4">
        <v>1.0</v>
      </c>
      <c r="L469" s="4" t="s">
        <v>33</v>
      </c>
      <c r="M469" s="4" t="s">
        <v>18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 t="s">
        <v>512</v>
      </c>
      <c r="B470" s="4" t="s">
        <v>54</v>
      </c>
      <c r="C470" s="4" t="s">
        <v>20</v>
      </c>
      <c r="D470" s="5">
        <v>2.0</v>
      </c>
      <c r="E470" s="4" t="s">
        <v>25</v>
      </c>
      <c r="F470" s="4" t="s">
        <v>15</v>
      </c>
      <c r="G470" s="4">
        <v>210.0</v>
      </c>
      <c r="H470" s="4">
        <v>2917.0</v>
      </c>
      <c r="I470" s="4">
        <v>98.0</v>
      </c>
      <c r="J470" s="4">
        <v>360.0</v>
      </c>
      <c r="K470" s="4">
        <v>1.0</v>
      </c>
      <c r="L470" s="4" t="s">
        <v>33</v>
      </c>
      <c r="M470" s="4" t="s">
        <v>18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 t="s">
        <v>513</v>
      </c>
      <c r="B471" s="4" t="s">
        <v>14</v>
      </c>
      <c r="C471" s="4" t="s">
        <v>20</v>
      </c>
      <c r="D471" s="5">
        <v>0.0</v>
      </c>
      <c r="E471" s="4" t="s">
        <v>16</v>
      </c>
      <c r="F471" s="4" t="s">
        <v>15</v>
      </c>
      <c r="G471" s="4">
        <v>4333.0</v>
      </c>
      <c r="H471" s="4">
        <v>2451.0</v>
      </c>
      <c r="I471" s="4">
        <v>110.0</v>
      </c>
      <c r="J471" s="4">
        <v>360.0</v>
      </c>
      <c r="K471" s="4">
        <v>1.0</v>
      </c>
      <c r="L471" s="4" t="s">
        <v>17</v>
      </c>
      <c r="M471" s="4" t="s">
        <v>22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 t="s">
        <v>514</v>
      </c>
      <c r="B472" s="4" t="s">
        <v>14</v>
      </c>
      <c r="C472" s="4" t="s">
        <v>20</v>
      </c>
      <c r="D472" s="5">
        <v>1.0</v>
      </c>
      <c r="E472" s="4" t="s">
        <v>16</v>
      </c>
      <c r="F472" s="4" t="s">
        <v>20</v>
      </c>
      <c r="G472" s="4">
        <v>3450.0</v>
      </c>
      <c r="H472" s="4">
        <v>2079.0</v>
      </c>
      <c r="I472" s="4">
        <v>162.0</v>
      </c>
      <c r="J472" s="4">
        <v>360.0</v>
      </c>
      <c r="K472" s="4">
        <v>1.0</v>
      </c>
      <c r="L472" s="4" t="s">
        <v>33</v>
      </c>
      <c r="M472" s="4" t="s">
        <v>18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 t="s">
        <v>515</v>
      </c>
      <c r="B473" s="4" t="s">
        <v>14</v>
      </c>
      <c r="C473" s="4" t="s">
        <v>20</v>
      </c>
      <c r="D473" s="5">
        <v>1.0</v>
      </c>
      <c r="E473" s="4" t="s">
        <v>25</v>
      </c>
      <c r="F473" s="4" t="s">
        <v>15</v>
      </c>
      <c r="G473" s="4">
        <v>2653.0</v>
      </c>
      <c r="H473" s="4">
        <v>1500.0</v>
      </c>
      <c r="I473" s="4">
        <v>113.0</v>
      </c>
      <c r="J473" s="4">
        <v>180.0</v>
      </c>
      <c r="K473" s="4">
        <v>0.0</v>
      </c>
      <c r="L473" s="4" t="s">
        <v>21</v>
      </c>
      <c r="M473" s="4" t="s">
        <v>22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 t="s">
        <v>516</v>
      </c>
      <c r="B474" s="4" t="s">
        <v>14</v>
      </c>
      <c r="C474" s="4" t="s">
        <v>20</v>
      </c>
      <c r="D474" s="5" t="s">
        <v>32</v>
      </c>
      <c r="E474" s="4" t="s">
        <v>16</v>
      </c>
      <c r="F474" s="4" t="s">
        <v>15</v>
      </c>
      <c r="G474" s="4">
        <v>4691.0</v>
      </c>
      <c r="H474" s="4">
        <v>0.0</v>
      </c>
      <c r="I474" s="4">
        <v>100.0</v>
      </c>
      <c r="J474" s="4">
        <v>360.0</v>
      </c>
      <c r="K474" s="4">
        <v>1.0</v>
      </c>
      <c r="L474" s="4" t="s">
        <v>33</v>
      </c>
      <c r="M474" s="4" t="s">
        <v>18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 t="s">
        <v>517</v>
      </c>
      <c r="B475" s="4" t="s">
        <v>54</v>
      </c>
      <c r="C475" s="4" t="s">
        <v>15</v>
      </c>
      <c r="D475" s="5">
        <v>0.0</v>
      </c>
      <c r="E475" s="4" t="s">
        <v>16</v>
      </c>
      <c r="F475" s="4" t="s">
        <v>20</v>
      </c>
      <c r="G475" s="4">
        <v>2500.0</v>
      </c>
      <c r="H475" s="4">
        <v>0.0</v>
      </c>
      <c r="I475" s="4">
        <v>93.0</v>
      </c>
      <c r="J475" s="4">
        <v>360.0</v>
      </c>
      <c r="K475" s="4">
        <v>1.0</v>
      </c>
      <c r="L475" s="4" t="s">
        <v>17</v>
      </c>
      <c r="M475" s="4" t="s">
        <v>18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 t="s">
        <v>518</v>
      </c>
      <c r="B476" s="4" t="s">
        <v>14</v>
      </c>
      <c r="C476" s="4" t="s">
        <v>15</v>
      </c>
      <c r="D476" s="5">
        <v>2.0</v>
      </c>
      <c r="E476" s="4" t="s">
        <v>16</v>
      </c>
      <c r="F476" s="4" t="s">
        <v>15</v>
      </c>
      <c r="G476" s="4">
        <v>5532.0</v>
      </c>
      <c r="H476" s="4">
        <v>4648.0</v>
      </c>
      <c r="I476" s="4">
        <v>162.0</v>
      </c>
      <c r="J476" s="4">
        <v>360.0</v>
      </c>
      <c r="K476" s="4">
        <v>1.0</v>
      </c>
      <c r="L476" s="4" t="s">
        <v>21</v>
      </c>
      <c r="M476" s="4" t="s">
        <v>18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 t="s">
        <v>519</v>
      </c>
      <c r="B477" s="4" t="s">
        <v>14</v>
      </c>
      <c r="C477" s="4" t="s">
        <v>20</v>
      </c>
      <c r="D477" s="5">
        <v>2.0</v>
      </c>
      <c r="E477" s="4" t="s">
        <v>16</v>
      </c>
      <c r="F477" s="4" t="s">
        <v>20</v>
      </c>
      <c r="G477" s="4">
        <v>16525.0</v>
      </c>
      <c r="H477" s="4">
        <v>1014.0</v>
      </c>
      <c r="I477" s="4">
        <v>150.0</v>
      </c>
      <c r="J477" s="4">
        <v>360.0</v>
      </c>
      <c r="K477" s="4">
        <v>1.0</v>
      </c>
      <c r="L477" s="4" t="s">
        <v>21</v>
      </c>
      <c r="M477" s="4" t="s">
        <v>18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 t="s">
        <v>520</v>
      </c>
      <c r="B478" s="4" t="s">
        <v>14</v>
      </c>
      <c r="C478" s="4" t="s">
        <v>20</v>
      </c>
      <c r="D478" s="5">
        <v>2.0</v>
      </c>
      <c r="E478" s="4" t="s">
        <v>16</v>
      </c>
      <c r="F478" s="4" t="s">
        <v>15</v>
      </c>
      <c r="G478" s="4">
        <v>6700.0</v>
      </c>
      <c r="H478" s="4">
        <v>1750.0</v>
      </c>
      <c r="I478" s="4">
        <v>230.0</v>
      </c>
      <c r="J478" s="4">
        <v>300.0</v>
      </c>
      <c r="K478" s="4">
        <v>1.0</v>
      </c>
      <c r="L478" s="4" t="s">
        <v>33</v>
      </c>
      <c r="M478" s="4" t="s">
        <v>18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 t="s">
        <v>521</v>
      </c>
      <c r="B479" s="4" t="s">
        <v>14</v>
      </c>
      <c r="C479" s="4" t="s">
        <v>20</v>
      </c>
      <c r="D479" s="5">
        <v>2.0</v>
      </c>
      <c r="E479" s="4" t="s">
        <v>16</v>
      </c>
      <c r="F479" s="4" t="s">
        <v>15</v>
      </c>
      <c r="G479" s="4">
        <v>2873.0</v>
      </c>
      <c r="H479" s="4">
        <v>1872.0</v>
      </c>
      <c r="I479" s="4">
        <v>132.0</v>
      </c>
      <c r="J479" s="4">
        <v>360.0</v>
      </c>
      <c r="K479" s="4">
        <v>0.0</v>
      </c>
      <c r="L479" s="4" t="s">
        <v>33</v>
      </c>
      <c r="M479" s="4" t="s">
        <v>22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 t="s">
        <v>522</v>
      </c>
      <c r="B480" s="4" t="s">
        <v>14</v>
      </c>
      <c r="C480" s="4" t="s">
        <v>20</v>
      </c>
      <c r="D480" s="5">
        <v>1.0</v>
      </c>
      <c r="E480" s="4" t="s">
        <v>16</v>
      </c>
      <c r="F480" s="4" t="s">
        <v>20</v>
      </c>
      <c r="G480" s="4">
        <v>16667.0</v>
      </c>
      <c r="H480" s="4">
        <v>2250.0</v>
      </c>
      <c r="I480" s="4">
        <v>86.0</v>
      </c>
      <c r="J480" s="4">
        <v>360.0</v>
      </c>
      <c r="K480" s="4">
        <v>1.0</v>
      </c>
      <c r="L480" s="4" t="s">
        <v>33</v>
      </c>
      <c r="M480" s="4" t="s">
        <v>18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 t="s">
        <v>523</v>
      </c>
      <c r="B481" s="4" t="s">
        <v>14</v>
      </c>
      <c r="C481" s="4" t="s">
        <v>20</v>
      </c>
      <c r="D481" s="5">
        <v>2.0</v>
      </c>
      <c r="E481" s="4" t="s">
        <v>16</v>
      </c>
      <c r="F481" s="4" t="s">
        <v>15</v>
      </c>
      <c r="G481" s="4">
        <v>2947.0</v>
      </c>
      <c r="H481" s="4">
        <v>1603.0</v>
      </c>
      <c r="I481" s="4">
        <v>128.0</v>
      </c>
      <c r="J481" s="4">
        <v>360.0</v>
      </c>
      <c r="K481" s="4">
        <v>1.0</v>
      </c>
      <c r="L481" s="4" t="s">
        <v>17</v>
      </c>
      <c r="M481" s="4" t="s">
        <v>22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 t="s">
        <v>524</v>
      </c>
      <c r="B482" s="4" t="s">
        <v>54</v>
      </c>
      <c r="C482" s="4" t="s">
        <v>15</v>
      </c>
      <c r="D482" s="5">
        <v>0.0</v>
      </c>
      <c r="E482" s="4" t="s">
        <v>25</v>
      </c>
      <c r="F482" s="4" t="s">
        <v>15</v>
      </c>
      <c r="G482" s="4">
        <v>4350.0</v>
      </c>
      <c r="H482" s="4">
        <v>0.0</v>
      </c>
      <c r="I482" s="4">
        <v>154.0</v>
      </c>
      <c r="J482" s="4">
        <v>360.0</v>
      </c>
      <c r="K482" s="4">
        <v>1.0</v>
      </c>
      <c r="L482" s="4" t="s">
        <v>21</v>
      </c>
      <c r="M482" s="4" t="s">
        <v>18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 t="s">
        <v>525</v>
      </c>
      <c r="B483" s="4" t="s">
        <v>14</v>
      </c>
      <c r="C483" s="4" t="s">
        <v>20</v>
      </c>
      <c r="D483" s="5" t="s">
        <v>32</v>
      </c>
      <c r="E483" s="4" t="s">
        <v>25</v>
      </c>
      <c r="F483" s="4" t="s">
        <v>15</v>
      </c>
      <c r="G483" s="4">
        <v>3095.0</v>
      </c>
      <c r="H483" s="4">
        <v>0.0</v>
      </c>
      <c r="I483" s="4">
        <v>113.0</v>
      </c>
      <c r="J483" s="4">
        <v>360.0</v>
      </c>
      <c r="K483" s="4">
        <v>1.0</v>
      </c>
      <c r="L483" s="4" t="s">
        <v>21</v>
      </c>
      <c r="M483" s="4" t="s">
        <v>18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 t="s">
        <v>526</v>
      </c>
      <c r="B484" s="4" t="s">
        <v>14</v>
      </c>
      <c r="C484" s="4" t="s">
        <v>20</v>
      </c>
      <c r="D484" s="5">
        <v>0.0</v>
      </c>
      <c r="E484" s="4" t="s">
        <v>16</v>
      </c>
      <c r="F484" s="4" t="s">
        <v>15</v>
      </c>
      <c r="G484" s="4">
        <v>2083.0</v>
      </c>
      <c r="H484" s="4">
        <v>3150.0</v>
      </c>
      <c r="I484" s="4">
        <v>128.0</v>
      </c>
      <c r="J484" s="4">
        <v>360.0</v>
      </c>
      <c r="K484" s="4">
        <v>1.0</v>
      </c>
      <c r="L484" s="4" t="s">
        <v>33</v>
      </c>
      <c r="M484" s="4" t="s">
        <v>18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 t="s">
        <v>527</v>
      </c>
      <c r="B485" s="4" t="s">
        <v>14</v>
      </c>
      <c r="C485" s="4" t="s">
        <v>20</v>
      </c>
      <c r="D485" s="5">
        <v>0.0</v>
      </c>
      <c r="E485" s="4" t="s">
        <v>16</v>
      </c>
      <c r="F485" s="4" t="s">
        <v>15</v>
      </c>
      <c r="G485" s="4">
        <v>10833.0</v>
      </c>
      <c r="H485" s="4">
        <v>0.0</v>
      </c>
      <c r="I485" s="4">
        <v>234.0</v>
      </c>
      <c r="J485" s="4">
        <v>360.0</v>
      </c>
      <c r="K485" s="4">
        <v>1.0</v>
      </c>
      <c r="L485" s="4" t="s">
        <v>33</v>
      </c>
      <c r="M485" s="4" t="s">
        <v>18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 t="s">
        <v>528</v>
      </c>
      <c r="B486" s="4" t="s">
        <v>14</v>
      </c>
      <c r="C486" s="4" t="s">
        <v>20</v>
      </c>
      <c r="D486" s="5">
        <v>2.0</v>
      </c>
      <c r="E486" s="4" t="s">
        <v>16</v>
      </c>
      <c r="F486" s="4" t="s">
        <v>15</v>
      </c>
      <c r="G486" s="4">
        <v>8333.0</v>
      </c>
      <c r="H486" s="4">
        <v>0.0</v>
      </c>
      <c r="I486" s="4">
        <v>246.0</v>
      </c>
      <c r="J486" s="4">
        <v>360.0</v>
      </c>
      <c r="K486" s="4">
        <v>1.0</v>
      </c>
      <c r="L486" s="4" t="s">
        <v>33</v>
      </c>
      <c r="M486" s="4" t="s">
        <v>18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 t="s">
        <v>529</v>
      </c>
      <c r="B487" s="4" t="s">
        <v>14</v>
      </c>
      <c r="C487" s="4" t="s">
        <v>20</v>
      </c>
      <c r="D487" s="5">
        <v>1.0</v>
      </c>
      <c r="E487" s="4" t="s">
        <v>25</v>
      </c>
      <c r="F487" s="4" t="s">
        <v>15</v>
      </c>
      <c r="G487" s="4">
        <v>1958.0</v>
      </c>
      <c r="H487" s="4">
        <v>2436.0</v>
      </c>
      <c r="I487" s="4">
        <v>131.0</v>
      </c>
      <c r="J487" s="4">
        <v>360.0</v>
      </c>
      <c r="K487" s="4">
        <v>1.0</v>
      </c>
      <c r="L487" s="4" t="s">
        <v>21</v>
      </c>
      <c r="M487" s="4" t="s">
        <v>18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 t="s">
        <v>530</v>
      </c>
      <c r="B488" s="4" t="s">
        <v>14</v>
      </c>
      <c r="C488" s="4" t="s">
        <v>15</v>
      </c>
      <c r="D488" s="5">
        <v>2.0</v>
      </c>
      <c r="E488" s="4" t="s">
        <v>16</v>
      </c>
      <c r="F488" s="4" t="s">
        <v>15</v>
      </c>
      <c r="G488" s="4">
        <v>3547.0</v>
      </c>
      <c r="H488" s="4">
        <v>0.0</v>
      </c>
      <c r="I488" s="4">
        <v>80.0</v>
      </c>
      <c r="J488" s="4">
        <v>360.0</v>
      </c>
      <c r="K488" s="4">
        <v>0.0</v>
      </c>
      <c r="L488" s="4" t="s">
        <v>21</v>
      </c>
      <c r="M488" s="4" t="s">
        <v>22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 t="s">
        <v>531</v>
      </c>
      <c r="B489" s="4" t="s">
        <v>14</v>
      </c>
      <c r="C489" s="4" t="s">
        <v>20</v>
      </c>
      <c r="D489" s="5">
        <v>1.0</v>
      </c>
      <c r="E489" s="4" t="s">
        <v>16</v>
      </c>
      <c r="F489" s="4" t="s">
        <v>15</v>
      </c>
      <c r="G489" s="4">
        <v>18333.0</v>
      </c>
      <c r="H489" s="4">
        <v>0.0</v>
      </c>
      <c r="I489" s="4">
        <v>500.0</v>
      </c>
      <c r="J489" s="4">
        <v>360.0</v>
      </c>
      <c r="K489" s="4">
        <v>1.0</v>
      </c>
      <c r="L489" s="4" t="s">
        <v>17</v>
      </c>
      <c r="M489" s="4" t="s">
        <v>22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 t="s">
        <v>532</v>
      </c>
      <c r="B490" s="4" t="s">
        <v>14</v>
      </c>
      <c r="C490" s="4" t="s">
        <v>20</v>
      </c>
      <c r="D490" s="5">
        <v>2.0</v>
      </c>
      <c r="E490" s="4" t="s">
        <v>16</v>
      </c>
      <c r="F490" s="4" t="s">
        <v>20</v>
      </c>
      <c r="G490" s="4">
        <v>4583.0</v>
      </c>
      <c r="H490" s="4">
        <v>2083.0</v>
      </c>
      <c r="I490" s="4">
        <v>160.0</v>
      </c>
      <c r="J490" s="4">
        <v>360.0</v>
      </c>
      <c r="K490" s="4">
        <v>1.0</v>
      </c>
      <c r="L490" s="4" t="s">
        <v>33</v>
      </c>
      <c r="M490" s="4" t="s">
        <v>18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 t="s">
        <v>533</v>
      </c>
      <c r="B491" s="4" t="s">
        <v>14</v>
      </c>
      <c r="C491" s="4" t="s">
        <v>15</v>
      </c>
      <c r="D491" s="5">
        <v>0.0</v>
      </c>
      <c r="E491" s="4" t="s">
        <v>16</v>
      </c>
      <c r="F491" s="4" t="s">
        <v>15</v>
      </c>
      <c r="G491" s="4">
        <v>2435.0</v>
      </c>
      <c r="H491" s="4">
        <v>0.0</v>
      </c>
      <c r="I491" s="4">
        <v>75.0</v>
      </c>
      <c r="J491" s="4">
        <v>360.0</v>
      </c>
      <c r="K491" s="4">
        <v>1.0</v>
      </c>
      <c r="L491" s="4" t="s">
        <v>17</v>
      </c>
      <c r="M491" s="4" t="s">
        <v>22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 t="s">
        <v>534</v>
      </c>
      <c r="B492" s="4" t="s">
        <v>14</v>
      </c>
      <c r="C492" s="4" t="s">
        <v>15</v>
      </c>
      <c r="D492" s="5">
        <v>0.0</v>
      </c>
      <c r="E492" s="4" t="s">
        <v>25</v>
      </c>
      <c r="F492" s="4" t="s">
        <v>15</v>
      </c>
      <c r="G492" s="4">
        <v>2699.0</v>
      </c>
      <c r="H492" s="4">
        <v>2785.0</v>
      </c>
      <c r="I492" s="4">
        <v>96.0</v>
      </c>
      <c r="J492" s="4">
        <v>360.0</v>
      </c>
      <c r="K492" s="4">
        <v>1.0</v>
      </c>
      <c r="L492" s="4" t="s">
        <v>33</v>
      </c>
      <c r="M492" s="4" t="s">
        <v>18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 t="s">
        <v>535</v>
      </c>
      <c r="B493" s="4" t="s">
        <v>14</v>
      </c>
      <c r="C493" s="4" t="s">
        <v>20</v>
      </c>
      <c r="D493" s="5">
        <v>1.0</v>
      </c>
      <c r="E493" s="4" t="s">
        <v>25</v>
      </c>
      <c r="F493" s="4" t="s">
        <v>15</v>
      </c>
      <c r="G493" s="4">
        <v>5333.0</v>
      </c>
      <c r="H493" s="4">
        <v>1131.0</v>
      </c>
      <c r="I493" s="4">
        <v>186.0</v>
      </c>
      <c r="J493" s="4">
        <v>360.0</v>
      </c>
      <c r="K493" s="4">
        <v>1.0</v>
      </c>
      <c r="L493" s="4" t="s">
        <v>17</v>
      </c>
      <c r="M493" s="4" t="s">
        <v>18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 t="s">
        <v>536</v>
      </c>
      <c r="B494" s="4" t="s">
        <v>14</v>
      </c>
      <c r="C494" s="4" t="s">
        <v>15</v>
      </c>
      <c r="D494" s="5">
        <v>0.0</v>
      </c>
      <c r="E494" s="4" t="s">
        <v>25</v>
      </c>
      <c r="F494" s="4" t="s">
        <v>15</v>
      </c>
      <c r="G494" s="4">
        <v>3691.0</v>
      </c>
      <c r="H494" s="4">
        <v>0.0</v>
      </c>
      <c r="I494" s="4">
        <v>110.0</v>
      </c>
      <c r="J494" s="4">
        <v>360.0</v>
      </c>
      <c r="K494" s="4">
        <v>1.0</v>
      </c>
      <c r="L494" s="4" t="s">
        <v>21</v>
      </c>
      <c r="M494" s="4" t="s">
        <v>18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 t="s">
        <v>537</v>
      </c>
      <c r="B495" s="4" t="s">
        <v>54</v>
      </c>
      <c r="C495" s="4" t="s">
        <v>15</v>
      </c>
      <c r="D495" s="5">
        <v>0.0</v>
      </c>
      <c r="E495" s="4" t="s">
        <v>25</v>
      </c>
      <c r="F495" s="4" t="s">
        <v>20</v>
      </c>
      <c r="G495" s="4">
        <v>17263.0</v>
      </c>
      <c r="H495" s="4">
        <v>0.0</v>
      </c>
      <c r="I495" s="4">
        <v>225.0</v>
      </c>
      <c r="J495" s="4">
        <v>360.0</v>
      </c>
      <c r="K495" s="4">
        <v>1.0</v>
      </c>
      <c r="L495" s="4" t="s">
        <v>33</v>
      </c>
      <c r="M495" s="4" t="s">
        <v>18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 t="s">
        <v>538</v>
      </c>
      <c r="B496" s="4" t="s">
        <v>14</v>
      </c>
      <c r="C496" s="4" t="s">
        <v>20</v>
      </c>
      <c r="D496" s="5">
        <v>0.0</v>
      </c>
      <c r="E496" s="4" t="s">
        <v>16</v>
      </c>
      <c r="F496" s="4" t="s">
        <v>15</v>
      </c>
      <c r="G496" s="4">
        <v>3597.0</v>
      </c>
      <c r="H496" s="4">
        <v>2157.0</v>
      </c>
      <c r="I496" s="4">
        <v>119.0</v>
      </c>
      <c r="J496" s="4">
        <v>360.0</v>
      </c>
      <c r="K496" s="4">
        <v>0.0</v>
      </c>
      <c r="L496" s="4" t="s">
        <v>21</v>
      </c>
      <c r="M496" s="4" t="s">
        <v>22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 t="s">
        <v>539</v>
      </c>
      <c r="B497" s="4" t="s">
        <v>54</v>
      </c>
      <c r="C497" s="4" t="s">
        <v>20</v>
      </c>
      <c r="D497" s="5">
        <v>1.0</v>
      </c>
      <c r="E497" s="4" t="s">
        <v>16</v>
      </c>
      <c r="F497" s="4" t="s">
        <v>15</v>
      </c>
      <c r="G497" s="4">
        <v>3326.0</v>
      </c>
      <c r="H497" s="4">
        <v>913.0</v>
      </c>
      <c r="I497" s="4">
        <v>105.0</v>
      </c>
      <c r="J497" s="4">
        <v>84.0</v>
      </c>
      <c r="K497" s="4">
        <v>1.0</v>
      </c>
      <c r="L497" s="4" t="s">
        <v>33</v>
      </c>
      <c r="M497" s="4" t="s">
        <v>18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 t="s">
        <v>540</v>
      </c>
      <c r="B498" s="4" t="s">
        <v>14</v>
      </c>
      <c r="C498" s="4" t="s">
        <v>20</v>
      </c>
      <c r="D498" s="5">
        <v>0.0</v>
      </c>
      <c r="E498" s="4" t="s">
        <v>25</v>
      </c>
      <c r="F498" s="4" t="s">
        <v>15</v>
      </c>
      <c r="G498" s="4">
        <v>2600.0</v>
      </c>
      <c r="H498" s="4">
        <v>1700.0</v>
      </c>
      <c r="I498" s="4">
        <v>107.0</v>
      </c>
      <c r="J498" s="4">
        <v>360.0</v>
      </c>
      <c r="K498" s="4">
        <v>1.0</v>
      </c>
      <c r="L498" s="4" t="s">
        <v>21</v>
      </c>
      <c r="M498" s="4" t="s">
        <v>18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 t="s">
        <v>541</v>
      </c>
      <c r="B499" s="4" t="s">
        <v>14</v>
      </c>
      <c r="C499" s="4" t="s">
        <v>20</v>
      </c>
      <c r="D499" s="5">
        <v>0.0</v>
      </c>
      <c r="E499" s="4" t="s">
        <v>16</v>
      </c>
      <c r="F499" s="4" t="s">
        <v>15</v>
      </c>
      <c r="G499" s="4">
        <v>4625.0</v>
      </c>
      <c r="H499" s="4">
        <v>2857.0</v>
      </c>
      <c r="I499" s="4">
        <v>111.0</v>
      </c>
      <c r="J499" s="4">
        <v>12.0</v>
      </c>
      <c r="K499" s="4">
        <v>1.0</v>
      </c>
      <c r="L499" s="4" t="s">
        <v>17</v>
      </c>
      <c r="M499" s="4" t="s">
        <v>18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 t="s">
        <v>542</v>
      </c>
      <c r="B500" s="4" t="s">
        <v>14</v>
      </c>
      <c r="C500" s="4" t="s">
        <v>20</v>
      </c>
      <c r="D500" s="5">
        <v>1.0</v>
      </c>
      <c r="E500" s="4" t="s">
        <v>16</v>
      </c>
      <c r="F500" s="4" t="s">
        <v>20</v>
      </c>
      <c r="G500" s="4">
        <v>2895.0</v>
      </c>
      <c r="H500" s="4">
        <v>0.0</v>
      </c>
      <c r="I500" s="4">
        <v>95.0</v>
      </c>
      <c r="J500" s="4">
        <v>360.0</v>
      </c>
      <c r="K500" s="4">
        <v>1.0</v>
      </c>
      <c r="L500" s="4" t="s">
        <v>33</v>
      </c>
      <c r="M500" s="4" t="s">
        <v>18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 t="s">
        <v>543</v>
      </c>
      <c r="B501" s="4" t="s">
        <v>14</v>
      </c>
      <c r="C501" s="4" t="s">
        <v>15</v>
      </c>
      <c r="D501" s="5">
        <v>0.0</v>
      </c>
      <c r="E501" s="4" t="s">
        <v>16</v>
      </c>
      <c r="F501" s="4" t="s">
        <v>15</v>
      </c>
      <c r="G501" s="4">
        <v>6283.0</v>
      </c>
      <c r="H501" s="4">
        <v>4416.0</v>
      </c>
      <c r="I501" s="4">
        <v>209.0</v>
      </c>
      <c r="J501" s="4">
        <v>360.0</v>
      </c>
      <c r="K501" s="4">
        <v>0.0</v>
      </c>
      <c r="L501" s="4" t="s">
        <v>21</v>
      </c>
      <c r="M501" s="4" t="s">
        <v>22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 t="s">
        <v>544</v>
      </c>
      <c r="B502" s="4" t="s">
        <v>54</v>
      </c>
      <c r="C502" s="4" t="s">
        <v>15</v>
      </c>
      <c r="D502" s="5">
        <v>0.0</v>
      </c>
      <c r="E502" s="4" t="s">
        <v>16</v>
      </c>
      <c r="F502" s="4" t="s">
        <v>15</v>
      </c>
      <c r="G502" s="4">
        <v>645.0</v>
      </c>
      <c r="H502" s="4">
        <v>3683.0</v>
      </c>
      <c r="I502" s="4">
        <v>113.0</v>
      </c>
      <c r="J502" s="4">
        <v>480.0</v>
      </c>
      <c r="K502" s="4">
        <v>1.0</v>
      </c>
      <c r="L502" s="4" t="s">
        <v>21</v>
      </c>
      <c r="M502" s="4" t="s">
        <v>18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 t="s">
        <v>545</v>
      </c>
      <c r="B503" s="4" t="s">
        <v>54</v>
      </c>
      <c r="C503" s="4" t="s">
        <v>15</v>
      </c>
      <c r="D503" s="5">
        <v>0.0</v>
      </c>
      <c r="E503" s="4" t="s">
        <v>16</v>
      </c>
      <c r="F503" s="4" t="s">
        <v>15</v>
      </c>
      <c r="G503" s="4">
        <v>3159.0</v>
      </c>
      <c r="H503" s="4">
        <v>0.0</v>
      </c>
      <c r="I503" s="4">
        <v>100.0</v>
      </c>
      <c r="J503" s="4">
        <v>360.0</v>
      </c>
      <c r="K503" s="4">
        <v>1.0</v>
      </c>
      <c r="L503" s="4" t="s">
        <v>33</v>
      </c>
      <c r="M503" s="4" t="s">
        <v>18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 t="s">
        <v>546</v>
      </c>
      <c r="B504" s="4" t="s">
        <v>14</v>
      </c>
      <c r="C504" s="4" t="s">
        <v>20</v>
      </c>
      <c r="D504" s="5">
        <v>2.0</v>
      </c>
      <c r="E504" s="4" t="s">
        <v>16</v>
      </c>
      <c r="F504" s="4" t="s">
        <v>15</v>
      </c>
      <c r="G504" s="4">
        <v>4865.0</v>
      </c>
      <c r="H504" s="4">
        <v>5624.0</v>
      </c>
      <c r="I504" s="4">
        <v>208.0</v>
      </c>
      <c r="J504" s="4">
        <v>360.0</v>
      </c>
      <c r="K504" s="4">
        <v>1.0</v>
      </c>
      <c r="L504" s="4" t="s">
        <v>33</v>
      </c>
      <c r="M504" s="4" t="s">
        <v>18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 t="s">
        <v>547</v>
      </c>
      <c r="B505" s="4" t="s">
        <v>14</v>
      </c>
      <c r="C505" s="4" t="s">
        <v>20</v>
      </c>
      <c r="D505" s="5">
        <v>1.0</v>
      </c>
      <c r="E505" s="4" t="s">
        <v>25</v>
      </c>
      <c r="F505" s="4" t="s">
        <v>15</v>
      </c>
      <c r="G505" s="4">
        <v>4050.0</v>
      </c>
      <c r="H505" s="4">
        <v>5302.0</v>
      </c>
      <c r="I505" s="4">
        <v>138.0</v>
      </c>
      <c r="J505" s="4">
        <v>360.0</v>
      </c>
      <c r="K505" s="4">
        <v>1.0</v>
      </c>
      <c r="L505" s="4" t="s">
        <v>21</v>
      </c>
      <c r="M505" s="4" t="s">
        <v>22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 t="s">
        <v>548</v>
      </c>
      <c r="B506" s="4" t="s">
        <v>14</v>
      </c>
      <c r="C506" s="4" t="s">
        <v>20</v>
      </c>
      <c r="D506" s="5">
        <v>0.0</v>
      </c>
      <c r="E506" s="4" t="s">
        <v>25</v>
      </c>
      <c r="F506" s="4" t="s">
        <v>15</v>
      </c>
      <c r="G506" s="4">
        <v>3814.0</v>
      </c>
      <c r="H506" s="4">
        <v>1483.0</v>
      </c>
      <c r="I506" s="4">
        <v>124.0</v>
      </c>
      <c r="J506" s="4">
        <v>300.0</v>
      </c>
      <c r="K506" s="4">
        <v>1.0</v>
      </c>
      <c r="L506" s="4" t="s">
        <v>33</v>
      </c>
      <c r="M506" s="4" t="s">
        <v>18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 t="s">
        <v>549</v>
      </c>
      <c r="B507" s="4" t="s">
        <v>14</v>
      </c>
      <c r="C507" s="4" t="s">
        <v>20</v>
      </c>
      <c r="D507" s="5">
        <v>2.0</v>
      </c>
      <c r="E507" s="4" t="s">
        <v>16</v>
      </c>
      <c r="F507" s="4" t="s">
        <v>15</v>
      </c>
      <c r="G507" s="4">
        <v>3510.0</v>
      </c>
      <c r="H507" s="4">
        <v>4416.0</v>
      </c>
      <c r="I507" s="4">
        <v>243.0</v>
      </c>
      <c r="J507" s="4">
        <v>360.0</v>
      </c>
      <c r="K507" s="4">
        <v>1.0</v>
      </c>
      <c r="L507" s="4" t="s">
        <v>21</v>
      </c>
      <c r="M507" s="4" t="s">
        <v>18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 t="s">
        <v>550</v>
      </c>
      <c r="B508" s="4" t="s">
        <v>14</v>
      </c>
      <c r="C508" s="4" t="s">
        <v>20</v>
      </c>
      <c r="D508" s="5">
        <v>0.0</v>
      </c>
      <c r="E508" s="4" t="s">
        <v>16</v>
      </c>
      <c r="F508" s="4" t="s">
        <v>15</v>
      </c>
      <c r="G508" s="4">
        <v>20833.0</v>
      </c>
      <c r="H508" s="4">
        <v>6667.0</v>
      </c>
      <c r="I508" s="4">
        <v>480.0</v>
      </c>
      <c r="J508" s="4">
        <v>360.0</v>
      </c>
      <c r="K508" s="4">
        <v>1.0</v>
      </c>
      <c r="L508" s="4" t="s">
        <v>17</v>
      </c>
      <c r="M508" s="4" t="s">
        <v>18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 t="s">
        <v>551</v>
      </c>
      <c r="B509" s="4" t="s">
        <v>14</v>
      </c>
      <c r="C509" s="4" t="s">
        <v>15</v>
      </c>
      <c r="D509" s="5">
        <v>0.0</v>
      </c>
      <c r="E509" s="4" t="s">
        <v>16</v>
      </c>
      <c r="F509" s="4" t="s">
        <v>15</v>
      </c>
      <c r="G509" s="4">
        <v>3583.0</v>
      </c>
      <c r="H509" s="4">
        <v>0.0</v>
      </c>
      <c r="I509" s="4">
        <v>96.0</v>
      </c>
      <c r="J509" s="4">
        <v>360.0</v>
      </c>
      <c r="K509" s="4">
        <v>1.0</v>
      </c>
      <c r="L509" s="4" t="s">
        <v>17</v>
      </c>
      <c r="M509" s="4" t="s">
        <v>22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 t="s">
        <v>552</v>
      </c>
      <c r="B510" s="4" t="s">
        <v>14</v>
      </c>
      <c r="C510" s="4" t="s">
        <v>20</v>
      </c>
      <c r="D510" s="5">
        <v>0.0</v>
      </c>
      <c r="E510" s="4" t="s">
        <v>16</v>
      </c>
      <c r="F510" s="4" t="s">
        <v>20</v>
      </c>
      <c r="G510" s="4">
        <v>2479.0</v>
      </c>
      <c r="H510" s="4">
        <v>3013.0</v>
      </c>
      <c r="I510" s="4">
        <v>188.0</v>
      </c>
      <c r="J510" s="4">
        <v>360.0</v>
      </c>
      <c r="K510" s="4">
        <v>1.0</v>
      </c>
      <c r="L510" s="4" t="s">
        <v>17</v>
      </c>
      <c r="M510" s="4" t="s">
        <v>18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 t="s">
        <v>553</v>
      </c>
      <c r="B511" s="4" t="s">
        <v>54</v>
      </c>
      <c r="C511" s="4" t="s">
        <v>15</v>
      </c>
      <c r="D511" s="5">
        <v>1.0</v>
      </c>
      <c r="E511" s="4" t="s">
        <v>16</v>
      </c>
      <c r="F511" s="4" t="s">
        <v>15</v>
      </c>
      <c r="G511" s="4">
        <v>13262.0</v>
      </c>
      <c r="H511" s="4">
        <v>0.0</v>
      </c>
      <c r="I511" s="4">
        <v>40.0</v>
      </c>
      <c r="J511" s="4">
        <v>360.0</v>
      </c>
      <c r="K511" s="4">
        <v>1.0</v>
      </c>
      <c r="L511" s="4" t="s">
        <v>17</v>
      </c>
      <c r="M511" s="4" t="s">
        <v>18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 t="s">
        <v>554</v>
      </c>
      <c r="B512" s="4" t="s">
        <v>14</v>
      </c>
      <c r="C512" s="4" t="s">
        <v>15</v>
      </c>
      <c r="D512" s="5">
        <v>0.0</v>
      </c>
      <c r="E512" s="4" t="s">
        <v>25</v>
      </c>
      <c r="F512" s="4" t="s">
        <v>15</v>
      </c>
      <c r="G512" s="4">
        <v>3598.0</v>
      </c>
      <c r="H512" s="4">
        <v>1287.0</v>
      </c>
      <c r="I512" s="4">
        <v>100.0</v>
      </c>
      <c r="J512" s="4">
        <v>360.0</v>
      </c>
      <c r="K512" s="4">
        <v>1.0</v>
      </c>
      <c r="L512" s="4" t="s">
        <v>21</v>
      </c>
      <c r="M512" s="4" t="s">
        <v>22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 t="s">
        <v>555</v>
      </c>
      <c r="B513" s="4" t="s">
        <v>14</v>
      </c>
      <c r="C513" s="4" t="s">
        <v>20</v>
      </c>
      <c r="D513" s="5">
        <v>1.0</v>
      </c>
      <c r="E513" s="4" t="s">
        <v>16</v>
      </c>
      <c r="F513" s="4" t="s">
        <v>15</v>
      </c>
      <c r="G513" s="4">
        <v>6065.0</v>
      </c>
      <c r="H513" s="4">
        <v>2004.0</v>
      </c>
      <c r="I513" s="4">
        <v>250.0</v>
      </c>
      <c r="J513" s="4">
        <v>360.0</v>
      </c>
      <c r="K513" s="4">
        <v>1.0</v>
      </c>
      <c r="L513" s="4" t="s">
        <v>33</v>
      </c>
      <c r="M513" s="4" t="s">
        <v>18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 t="s">
        <v>556</v>
      </c>
      <c r="B514" s="4" t="s">
        <v>14</v>
      </c>
      <c r="C514" s="4" t="s">
        <v>20</v>
      </c>
      <c r="D514" s="5">
        <v>2.0</v>
      </c>
      <c r="E514" s="4" t="s">
        <v>16</v>
      </c>
      <c r="F514" s="4" t="s">
        <v>15</v>
      </c>
      <c r="G514" s="4">
        <v>3283.0</v>
      </c>
      <c r="H514" s="4">
        <v>2035.0</v>
      </c>
      <c r="I514" s="4">
        <v>148.0</v>
      </c>
      <c r="J514" s="4">
        <v>360.0</v>
      </c>
      <c r="K514" s="4">
        <v>1.0</v>
      </c>
      <c r="L514" s="4" t="s">
        <v>17</v>
      </c>
      <c r="M514" s="4" t="s">
        <v>18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 t="s">
        <v>557</v>
      </c>
      <c r="B515" s="4" t="s">
        <v>14</v>
      </c>
      <c r="C515" s="4" t="s">
        <v>20</v>
      </c>
      <c r="D515" s="5">
        <v>0.0</v>
      </c>
      <c r="E515" s="4" t="s">
        <v>16</v>
      </c>
      <c r="F515" s="4" t="s">
        <v>15</v>
      </c>
      <c r="G515" s="4">
        <v>2130.0</v>
      </c>
      <c r="H515" s="4">
        <v>6666.0</v>
      </c>
      <c r="I515" s="4">
        <v>70.0</v>
      </c>
      <c r="J515" s="4">
        <v>180.0</v>
      </c>
      <c r="K515" s="4">
        <v>1.0</v>
      </c>
      <c r="L515" s="4" t="s">
        <v>33</v>
      </c>
      <c r="M515" s="4" t="s">
        <v>22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 t="s">
        <v>558</v>
      </c>
      <c r="B516" s="4" t="s">
        <v>14</v>
      </c>
      <c r="C516" s="4" t="s">
        <v>15</v>
      </c>
      <c r="D516" s="5">
        <v>0.0</v>
      </c>
      <c r="E516" s="4" t="s">
        <v>16</v>
      </c>
      <c r="F516" s="4" t="s">
        <v>15</v>
      </c>
      <c r="G516" s="4">
        <v>5815.0</v>
      </c>
      <c r="H516" s="4">
        <v>3666.0</v>
      </c>
      <c r="I516" s="4">
        <v>311.0</v>
      </c>
      <c r="J516" s="4">
        <v>360.0</v>
      </c>
      <c r="K516" s="4">
        <v>1.0</v>
      </c>
      <c r="L516" s="4" t="s">
        <v>21</v>
      </c>
      <c r="M516" s="4" t="s">
        <v>22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 t="s">
        <v>559</v>
      </c>
      <c r="B517" s="4" t="s">
        <v>14</v>
      </c>
      <c r="C517" s="4" t="s">
        <v>20</v>
      </c>
      <c r="D517" s="5" t="s">
        <v>32</v>
      </c>
      <c r="E517" s="4" t="s">
        <v>16</v>
      </c>
      <c r="F517" s="4" t="s">
        <v>15</v>
      </c>
      <c r="G517" s="4">
        <v>3466.0</v>
      </c>
      <c r="H517" s="4">
        <v>3428.0</v>
      </c>
      <c r="I517" s="4">
        <v>150.0</v>
      </c>
      <c r="J517" s="4">
        <v>360.0</v>
      </c>
      <c r="K517" s="4">
        <v>1.0</v>
      </c>
      <c r="L517" s="4" t="s">
        <v>21</v>
      </c>
      <c r="M517" s="4" t="s">
        <v>18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 t="s">
        <v>560</v>
      </c>
      <c r="B518" s="4" t="s">
        <v>54</v>
      </c>
      <c r="C518" s="4" t="s">
        <v>20</v>
      </c>
      <c r="D518" s="5">
        <v>2.0</v>
      </c>
      <c r="E518" s="4" t="s">
        <v>16</v>
      </c>
      <c r="F518" s="4" t="s">
        <v>15</v>
      </c>
      <c r="G518" s="4">
        <v>2031.0</v>
      </c>
      <c r="H518" s="4">
        <v>1632.0</v>
      </c>
      <c r="I518" s="4">
        <v>113.0</v>
      </c>
      <c r="J518" s="4">
        <v>480.0</v>
      </c>
      <c r="K518" s="4">
        <v>1.0</v>
      </c>
      <c r="L518" s="4" t="s">
        <v>33</v>
      </c>
      <c r="M518" s="4" t="s">
        <v>18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 t="s">
        <v>561</v>
      </c>
      <c r="B519" s="4" t="s">
        <v>14</v>
      </c>
      <c r="C519" s="4" t="s">
        <v>20</v>
      </c>
      <c r="D519" s="5">
        <v>0.0</v>
      </c>
      <c r="E519" s="4" t="s">
        <v>25</v>
      </c>
      <c r="F519" s="4" t="s">
        <v>15</v>
      </c>
      <c r="G519" s="4">
        <v>3074.0</v>
      </c>
      <c r="H519" s="4">
        <v>1800.0</v>
      </c>
      <c r="I519" s="4">
        <v>123.0</v>
      </c>
      <c r="J519" s="4">
        <v>360.0</v>
      </c>
      <c r="K519" s="4">
        <v>0.0</v>
      </c>
      <c r="L519" s="4" t="s">
        <v>33</v>
      </c>
      <c r="M519" s="4" t="s">
        <v>22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 t="s">
        <v>562</v>
      </c>
      <c r="B520" s="4" t="s">
        <v>14</v>
      </c>
      <c r="C520" s="4" t="s">
        <v>15</v>
      </c>
      <c r="D520" s="5">
        <v>0.0</v>
      </c>
      <c r="E520" s="4" t="s">
        <v>16</v>
      </c>
      <c r="F520" s="4" t="s">
        <v>15</v>
      </c>
      <c r="G520" s="4">
        <v>4683.0</v>
      </c>
      <c r="H520" s="4">
        <v>1915.0</v>
      </c>
      <c r="I520" s="4">
        <v>185.0</v>
      </c>
      <c r="J520" s="4">
        <v>360.0</v>
      </c>
      <c r="K520" s="4">
        <v>1.0</v>
      </c>
      <c r="L520" s="4" t="s">
        <v>33</v>
      </c>
      <c r="M520" s="4" t="s">
        <v>22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 t="s">
        <v>563</v>
      </c>
      <c r="B521" s="4" t="s">
        <v>54</v>
      </c>
      <c r="C521" s="4" t="s">
        <v>15</v>
      </c>
      <c r="D521" s="5">
        <v>0.0</v>
      </c>
      <c r="E521" s="4" t="s">
        <v>25</v>
      </c>
      <c r="F521" s="4" t="s">
        <v>15</v>
      </c>
      <c r="G521" s="4">
        <v>3400.0</v>
      </c>
      <c r="H521" s="4">
        <v>0.0</v>
      </c>
      <c r="I521" s="4">
        <v>95.0</v>
      </c>
      <c r="J521" s="4">
        <v>360.0</v>
      </c>
      <c r="K521" s="4">
        <v>1.0</v>
      </c>
      <c r="L521" s="4" t="s">
        <v>21</v>
      </c>
      <c r="M521" s="4" t="s">
        <v>22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 t="s">
        <v>564</v>
      </c>
      <c r="B522" s="4" t="s">
        <v>14</v>
      </c>
      <c r="C522" s="4" t="s">
        <v>20</v>
      </c>
      <c r="D522" s="5">
        <v>2.0</v>
      </c>
      <c r="E522" s="4" t="s">
        <v>25</v>
      </c>
      <c r="F522" s="4" t="s">
        <v>15</v>
      </c>
      <c r="G522" s="4">
        <v>2192.0</v>
      </c>
      <c r="H522" s="4">
        <v>1742.0</v>
      </c>
      <c r="I522" s="4">
        <v>45.0</v>
      </c>
      <c r="J522" s="4">
        <v>360.0</v>
      </c>
      <c r="K522" s="4">
        <v>1.0</v>
      </c>
      <c r="L522" s="4" t="s">
        <v>33</v>
      </c>
      <c r="M522" s="4" t="s">
        <v>18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 t="s">
        <v>565</v>
      </c>
      <c r="B523" s="4" t="s">
        <v>14</v>
      </c>
      <c r="C523" s="4" t="s">
        <v>15</v>
      </c>
      <c r="D523" s="5">
        <v>0.0</v>
      </c>
      <c r="E523" s="4" t="s">
        <v>16</v>
      </c>
      <c r="F523" s="4" t="s">
        <v>15</v>
      </c>
      <c r="G523" s="4">
        <v>2500.0</v>
      </c>
      <c r="H523" s="4">
        <v>0.0</v>
      </c>
      <c r="I523" s="4">
        <v>55.0</v>
      </c>
      <c r="J523" s="4">
        <v>360.0</v>
      </c>
      <c r="K523" s="4">
        <v>1.0</v>
      </c>
      <c r="L523" s="4" t="s">
        <v>33</v>
      </c>
      <c r="M523" s="4" t="s">
        <v>18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 t="s">
        <v>566</v>
      </c>
      <c r="B524" s="4" t="s">
        <v>14</v>
      </c>
      <c r="C524" s="4" t="s">
        <v>20</v>
      </c>
      <c r="D524" s="5" t="s">
        <v>32</v>
      </c>
      <c r="E524" s="4" t="s">
        <v>16</v>
      </c>
      <c r="F524" s="4" t="s">
        <v>20</v>
      </c>
      <c r="G524" s="4">
        <v>5677.0</v>
      </c>
      <c r="H524" s="4">
        <v>1424.0</v>
      </c>
      <c r="I524" s="4">
        <v>100.0</v>
      </c>
      <c r="J524" s="4">
        <v>360.0</v>
      </c>
      <c r="K524" s="4">
        <v>1.0</v>
      </c>
      <c r="L524" s="4" t="s">
        <v>21</v>
      </c>
      <c r="M524" s="4" t="s">
        <v>18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 t="s">
        <v>567</v>
      </c>
      <c r="B525" s="4" t="s">
        <v>14</v>
      </c>
      <c r="C525" s="4" t="s">
        <v>20</v>
      </c>
      <c r="D525" s="5">
        <v>2.0</v>
      </c>
      <c r="E525" s="4" t="s">
        <v>16</v>
      </c>
      <c r="F525" s="4" t="s">
        <v>20</v>
      </c>
      <c r="G525" s="4">
        <v>7948.0</v>
      </c>
      <c r="H525" s="4">
        <v>7166.0</v>
      </c>
      <c r="I525" s="4">
        <v>480.0</v>
      </c>
      <c r="J525" s="4">
        <v>360.0</v>
      </c>
      <c r="K525" s="4">
        <v>1.0</v>
      </c>
      <c r="L525" s="4" t="s">
        <v>21</v>
      </c>
      <c r="M525" s="4" t="s">
        <v>18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 t="s">
        <v>568</v>
      </c>
      <c r="B526" s="4" t="s">
        <v>14</v>
      </c>
      <c r="C526" s="4" t="s">
        <v>15</v>
      </c>
      <c r="D526" s="5">
        <v>0.0</v>
      </c>
      <c r="E526" s="4" t="s">
        <v>16</v>
      </c>
      <c r="F526" s="4" t="s">
        <v>15</v>
      </c>
      <c r="G526" s="4">
        <v>4680.0</v>
      </c>
      <c r="H526" s="4">
        <v>2087.0</v>
      </c>
      <c r="I526" s="4">
        <v>128.0</v>
      </c>
      <c r="J526" s="4">
        <v>360.0</v>
      </c>
      <c r="K526" s="4">
        <v>1.0</v>
      </c>
      <c r="L526" s="4" t="s">
        <v>33</v>
      </c>
      <c r="M526" s="4" t="s">
        <v>22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 t="s">
        <v>569</v>
      </c>
      <c r="B527" s="4" t="s">
        <v>14</v>
      </c>
      <c r="C527" s="4" t="s">
        <v>20</v>
      </c>
      <c r="D527" s="5">
        <v>2.0</v>
      </c>
      <c r="E527" s="4" t="s">
        <v>16</v>
      </c>
      <c r="F527" s="4" t="s">
        <v>20</v>
      </c>
      <c r="G527" s="4">
        <v>17500.0</v>
      </c>
      <c r="H527" s="4">
        <v>0.0</v>
      </c>
      <c r="I527" s="4">
        <v>400.0</v>
      </c>
      <c r="J527" s="4">
        <v>360.0</v>
      </c>
      <c r="K527" s="4">
        <v>1.0</v>
      </c>
      <c r="L527" s="4" t="s">
        <v>21</v>
      </c>
      <c r="M527" s="4" t="s">
        <v>18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 t="s">
        <v>570</v>
      </c>
      <c r="B528" s="4" t="s">
        <v>14</v>
      </c>
      <c r="C528" s="4" t="s">
        <v>20</v>
      </c>
      <c r="D528" s="5">
        <v>0.0</v>
      </c>
      <c r="E528" s="4" t="s">
        <v>16</v>
      </c>
      <c r="F528" s="4" t="s">
        <v>15</v>
      </c>
      <c r="G528" s="4">
        <v>3775.0</v>
      </c>
      <c r="H528" s="4">
        <v>0.0</v>
      </c>
      <c r="I528" s="4">
        <v>110.0</v>
      </c>
      <c r="J528" s="4">
        <v>360.0</v>
      </c>
      <c r="K528" s="4">
        <v>1.0</v>
      </c>
      <c r="L528" s="4" t="s">
        <v>33</v>
      </c>
      <c r="M528" s="4" t="s">
        <v>18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 t="s">
        <v>571</v>
      </c>
      <c r="B529" s="4" t="s">
        <v>14</v>
      </c>
      <c r="C529" s="4" t="s">
        <v>20</v>
      </c>
      <c r="D529" s="5">
        <v>1.0</v>
      </c>
      <c r="E529" s="4" t="s">
        <v>25</v>
      </c>
      <c r="F529" s="4" t="s">
        <v>15</v>
      </c>
      <c r="G529" s="4">
        <v>5285.0</v>
      </c>
      <c r="H529" s="4">
        <v>1430.0</v>
      </c>
      <c r="I529" s="4">
        <v>161.0</v>
      </c>
      <c r="J529" s="4">
        <v>360.0</v>
      </c>
      <c r="K529" s="4">
        <v>0.0</v>
      </c>
      <c r="L529" s="4" t="s">
        <v>33</v>
      </c>
      <c r="M529" s="4" t="s">
        <v>18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 t="s">
        <v>572</v>
      </c>
      <c r="B530" s="4" t="s">
        <v>14</v>
      </c>
      <c r="C530" s="4" t="s">
        <v>15</v>
      </c>
      <c r="D530" s="5">
        <v>1.0</v>
      </c>
      <c r="E530" s="4" t="s">
        <v>25</v>
      </c>
      <c r="F530" s="4" t="s">
        <v>15</v>
      </c>
      <c r="G530" s="4">
        <v>2679.0</v>
      </c>
      <c r="H530" s="4">
        <v>1302.0</v>
      </c>
      <c r="I530" s="4">
        <v>94.0</v>
      </c>
      <c r="J530" s="4">
        <v>360.0</v>
      </c>
      <c r="K530" s="4">
        <v>1.0</v>
      </c>
      <c r="L530" s="4" t="s">
        <v>33</v>
      </c>
      <c r="M530" s="4" t="s">
        <v>18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 t="s">
        <v>573</v>
      </c>
      <c r="B531" s="4" t="s">
        <v>14</v>
      </c>
      <c r="C531" s="4" t="s">
        <v>15</v>
      </c>
      <c r="D531" s="5">
        <v>0.0</v>
      </c>
      <c r="E531" s="4" t="s">
        <v>25</v>
      </c>
      <c r="F531" s="4" t="s">
        <v>15</v>
      </c>
      <c r="G531" s="4">
        <v>6783.0</v>
      </c>
      <c r="H531" s="4">
        <v>0.0</v>
      </c>
      <c r="I531" s="4">
        <v>130.0</v>
      </c>
      <c r="J531" s="4">
        <v>360.0</v>
      </c>
      <c r="K531" s="4">
        <v>1.0</v>
      </c>
      <c r="L531" s="4" t="s">
        <v>33</v>
      </c>
      <c r="M531" s="4" t="s">
        <v>18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 t="s">
        <v>574</v>
      </c>
      <c r="B532" s="4" t="s">
        <v>14</v>
      </c>
      <c r="C532" s="4" t="s">
        <v>20</v>
      </c>
      <c r="D532" s="5">
        <v>0.0</v>
      </c>
      <c r="E532" s="4" t="s">
        <v>16</v>
      </c>
      <c r="F532" s="4" t="s">
        <v>15</v>
      </c>
      <c r="G532" s="4">
        <v>1025.0</v>
      </c>
      <c r="H532" s="4">
        <v>5500.0</v>
      </c>
      <c r="I532" s="4">
        <v>216.0</v>
      </c>
      <c r="J532" s="4">
        <v>360.0</v>
      </c>
      <c r="K532" s="4">
        <v>1.0</v>
      </c>
      <c r="L532" s="4" t="s">
        <v>21</v>
      </c>
      <c r="M532" s="4" t="s">
        <v>18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 t="s">
        <v>575</v>
      </c>
      <c r="B533" s="4" t="s">
        <v>14</v>
      </c>
      <c r="C533" s="4" t="s">
        <v>20</v>
      </c>
      <c r="D533" s="5" t="s">
        <v>32</v>
      </c>
      <c r="E533" s="4" t="s">
        <v>16</v>
      </c>
      <c r="F533" s="4" t="s">
        <v>15</v>
      </c>
      <c r="G533" s="4">
        <v>4281.0</v>
      </c>
      <c r="H533" s="4">
        <v>0.0</v>
      </c>
      <c r="I533" s="4">
        <v>100.0</v>
      </c>
      <c r="J533" s="4">
        <v>360.0</v>
      </c>
      <c r="K533" s="4">
        <v>1.0</v>
      </c>
      <c r="L533" s="4" t="s">
        <v>17</v>
      </c>
      <c r="M533" s="4" t="s">
        <v>18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 t="s">
        <v>576</v>
      </c>
      <c r="B534" s="4" t="s">
        <v>14</v>
      </c>
      <c r="C534" s="4" t="s">
        <v>15</v>
      </c>
      <c r="D534" s="5">
        <v>2.0</v>
      </c>
      <c r="E534" s="4" t="s">
        <v>16</v>
      </c>
      <c r="F534" s="4" t="s">
        <v>15</v>
      </c>
      <c r="G534" s="4">
        <v>3588.0</v>
      </c>
      <c r="H534" s="4">
        <v>0.0</v>
      </c>
      <c r="I534" s="4">
        <v>110.0</v>
      </c>
      <c r="J534" s="4">
        <v>360.0</v>
      </c>
      <c r="K534" s="4">
        <v>0.0</v>
      </c>
      <c r="L534" s="4" t="s">
        <v>21</v>
      </c>
      <c r="M534" s="4" t="s">
        <v>22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 t="s">
        <v>577</v>
      </c>
      <c r="B535" s="4" t="s">
        <v>14</v>
      </c>
      <c r="C535" s="4" t="s">
        <v>15</v>
      </c>
      <c r="D535" s="5">
        <v>1.0</v>
      </c>
      <c r="E535" s="4" t="s">
        <v>16</v>
      </c>
      <c r="F535" s="4" t="s">
        <v>15</v>
      </c>
      <c r="G535" s="4">
        <v>11250.0</v>
      </c>
      <c r="H535" s="4">
        <v>0.0</v>
      </c>
      <c r="I535" s="4">
        <v>196.0</v>
      </c>
      <c r="J535" s="4">
        <v>360.0</v>
      </c>
      <c r="K535" s="4">
        <v>1.0</v>
      </c>
      <c r="L535" s="4" t="s">
        <v>33</v>
      </c>
      <c r="M535" s="4" t="s">
        <v>22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 t="s">
        <v>578</v>
      </c>
      <c r="B536" s="4" t="s">
        <v>54</v>
      </c>
      <c r="C536" s="4" t="s">
        <v>15</v>
      </c>
      <c r="D536" s="5">
        <v>0.0</v>
      </c>
      <c r="E536" s="4" t="s">
        <v>25</v>
      </c>
      <c r="F536" s="4" t="s">
        <v>20</v>
      </c>
      <c r="G536" s="4">
        <v>18165.0</v>
      </c>
      <c r="H536" s="4">
        <v>0.0</v>
      </c>
      <c r="I536" s="4">
        <v>125.0</v>
      </c>
      <c r="J536" s="4">
        <v>360.0</v>
      </c>
      <c r="K536" s="4">
        <v>1.0</v>
      </c>
      <c r="L536" s="4" t="s">
        <v>17</v>
      </c>
      <c r="M536" s="4" t="s">
        <v>18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 t="s">
        <v>579</v>
      </c>
      <c r="B537" s="4" t="s">
        <v>14</v>
      </c>
      <c r="C537" s="4" t="s">
        <v>15</v>
      </c>
      <c r="D537" s="5">
        <v>0.0</v>
      </c>
      <c r="E537" s="4" t="s">
        <v>25</v>
      </c>
      <c r="F537" s="4" t="s">
        <v>15</v>
      </c>
      <c r="G537" s="4">
        <v>2550.0</v>
      </c>
      <c r="H537" s="4">
        <v>2042.0</v>
      </c>
      <c r="I537" s="4">
        <v>126.0</v>
      </c>
      <c r="J537" s="4">
        <v>360.0</v>
      </c>
      <c r="K537" s="4">
        <v>1.0</v>
      </c>
      <c r="L537" s="4" t="s">
        <v>21</v>
      </c>
      <c r="M537" s="4" t="s">
        <v>18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 t="s">
        <v>580</v>
      </c>
      <c r="B538" s="4" t="s">
        <v>14</v>
      </c>
      <c r="C538" s="4" t="s">
        <v>20</v>
      </c>
      <c r="D538" s="5">
        <v>0.0</v>
      </c>
      <c r="E538" s="4" t="s">
        <v>16</v>
      </c>
      <c r="F538" s="4" t="s">
        <v>15</v>
      </c>
      <c r="G538" s="4">
        <v>6133.0</v>
      </c>
      <c r="H538" s="4">
        <v>3906.0</v>
      </c>
      <c r="I538" s="4">
        <v>324.0</v>
      </c>
      <c r="J538" s="4">
        <v>360.0</v>
      </c>
      <c r="K538" s="4">
        <v>1.0</v>
      </c>
      <c r="L538" s="4" t="s">
        <v>17</v>
      </c>
      <c r="M538" s="4" t="s">
        <v>18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 t="s">
        <v>581</v>
      </c>
      <c r="B539" s="4" t="s">
        <v>14</v>
      </c>
      <c r="C539" s="4" t="s">
        <v>15</v>
      </c>
      <c r="D539" s="5">
        <v>2.0</v>
      </c>
      <c r="E539" s="4" t="s">
        <v>16</v>
      </c>
      <c r="F539" s="4" t="s">
        <v>15</v>
      </c>
      <c r="G539" s="4">
        <v>3617.0</v>
      </c>
      <c r="H539" s="4">
        <v>0.0</v>
      </c>
      <c r="I539" s="4">
        <v>107.0</v>
      </c>
      <c r="J539" s="4">
        <v>360.0</v>
      </c>
      <c r="K539" s="4">
        <v>1.0</v>
      </c>
      <c r="L539" s="4" t="s">
        <v>33</v>
      </c>
      <c r="M539" s="4" t="s">
        <v>18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 t="s">
        <v>582</v>
      </c>
      <c r="B540" s="4" t="s">
        <v>14</v>
      </c>
      <c r="C540" s="4" t="s">
        <v>20</v>
      </c>
      <c r="D540" s="5">
        <v>0.0</v>
      </c>
      <c r="E540" s="4" t="s">
        <v>25</v>
      </c>
      <c r="F540" s="4" t="s">
        <v>15</v>
      </c>
      <c r="G540" s="4">
        <v>2917.0</v>
      </c>
      <c r="H540" s="4">
        <v>536.0</v>
      </c>
      <c r="I540" s="4">
        <v>66.0</v>
      </c>
      <c r="J540" s="4">
        <v>360.0</v>
      </c>
      <c r="K540" s="4">
        <v>1.0</v>
      </c>
      <c r="L540" s="4" t="s">
        <v>21</v>
      </c>
      <c r="M540" s="4" t="s">
        <v>22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 t="s">
        <v>583</v>
      </c>
      <c r="B541" s="4" t="s">
        <v>14</v>
      </c>
      <c r="C541" s="4" t="s">
        <v>20</v>
      </c>
      <c r="D541" s="5" t="s">
        <v>32</v>
      </c>
      <c r="E541" s="4" t="s">
        <v>16</v>
      </c>
      <c r="F541" s="4" t="s">
        <v>15</v>
      </c>
      <c r="G541" s="4">
        <v>6417.0</v>
      </c>
      <c r="H541" s="4">
        <v>0.0</v>
      </c>
      <c r="I541" s="4">
        <v>157.0</v>
      </c>
      <c r="J541" s="4">
        <v>180.0</v>
      </c>
      <c r="K541" s="4">
        <v>1.0</v>
      </c>
      <c r="L541" s="4" t="s">
        <v>21</v>
      </c>
      <c r="M541" s="4" t="s">
        <v>18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 t="s">
        <v>584</v>
      </c>
      <c r="B542" s="4" t="s">
        <v>54</v>
      </c>
      <c r="C542" s="4" t="s">
        <v>20</v>
      </c>
      <c r="D542" s="5">
        <v>1.0</v>
      </c>
      <c r="E542" s="4" t="s">
        <v>16</v>
      </c>
      <c r="F542" s="4" t="s">
        <v>15</v>
      </c>
      <c r="G542" s="4">
        <v>4608.0</v>
      </c>
      <c r="H542" s="4">
        <v>2845.0</v>
      </c>
      <c r="I542" s="4">
        <v>140.0</v>
      </c>
      <c r="J542" s="4">
        <v>180.0</v>
      </c>
      <c r="K542" s="4">
        <v>1.0</v>
      </c>
      <c r="L542" s="4" t="s">
        <v>33</v>
      </c>
      <c r="M542" s="4" t="s">
        <v>18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 t="s">
        <v>585</v>
      </c>
      <c r="B543" s="4" t="s">
        <v>54</v>
      </c>
      <c r="C543" s="4" t="s">
        <v>15</v>
      </c>
      <c r="D543" s="5">
        <v>0.0</v>
      </c>
      <c r="E543" s="4" t="s">
        <v>16</v>
      </c>
      <c r="F543" s="4" t="s">
        <v>15</v>
      </c>
      <c r="G543" s="4">
        <v>2138.0</v>
      </c>
      <c r="H543" s="4">
        <v>0.0</v>
      </c>
      <c r="I543" s="4">
        <v>99.0</v>
      </c>
      <c r="J543" s="4">
        <v>360.0</v>
      </c>
      <c r="K543" s="4">
        <v>0.0</v>
      </c>
      <c r="L543" s="4" t="s">
        <v>33</v>
      </c>
      <c r="M543" s="4" t="s">
        <v>22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 t="s">
        <v>586</v>
      </c>
      <c r="B544" s="4" t="s">
        <v>54</v>
      </c>
      <c r="C544" s="4" t="s">
        <v>15</v>
      </c>
      <c r="D544" s="5">
        <v>1.0</v>
      </c>
      <c r="E544" s="4" t="s">
        <v>16</v>
      </c>
      <c r="F544" s="4" t="s">
        <v>15</v>
      </c>
      <c r="G544" s="4">
        <v>3652.0</v>
      </c>
      <c r="H544" s="4">
        <v>0.0</v>
      </c>
      <c r="I544" s="4">
        <v>95.0</v>
      </c>
      <c r="J544" s="4">
        <v>360.0</v>
      </c>
      <c r="K544" s="4">
        <v>1.0</v>
      </c>
      <c r="L544" s="4" t="s">
        <v>33</v>
      </c>
      <c r="M544" s="4" t="s">
        <v>18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 t="s">
        <v>587</v>
      </c>
      <c r="B545" s="4" t="s">
        <v>14</v>
      </c>
      <c r="C545" s="4" t="s">
        <v>20</v>
      </c>
      <c r="D545" s="5">
        <v>1.0</v>
      </c>
      <c r="E545" s="4" t="s">
        <v>25</v>
      </c>
      <c r="F545" s="4" t="s">
        <v>15</v>
      </c>
      <c r="G545" s="4">
        <v>2239.0</v>
      </c>
      <c r="H545" s="4">
        <v>2524.0</v>
      </c>
      <c r="I545" s="4">
        <v>128.0</v>
      </c>
      <c r="J545" s="4">
        <v>360.0</v>
      </c>
      <c r="K545" s="4">
        <v>1.0</v>
      </c>
      <c r="L545" s="4" t="s">
        <v>17</v>
      </c>
      <c r="M545" s="4" t="s">
        <v>18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 t="s">
        <v>588</v>
      </c>
      <c r="B546" s="4" t="s">
        <v>54</v>
      </c>
      <c r="C546" s="4" t="s">
        <v>20</v>
      </c>
      <c r="D546" s="5">
        <v>0.0</v>
      </c>
      <c r="E546" s="4" t="s">
        <v>25</v>
      </c>
      <c r="F546" s="4" t="s">
        <v>15</v>
      </c>
      <c r="G546" s="4">
        <v>3017.0</v>
      </c>
      <c r="H546" s="4">
        <v>663.0</v>
      </c>
      <c r="I546" s="4">
        <v>102.0</v>
      </c>
      <c r="J546" s="4">
        <v>360.0</v>
      </c>
      <c r="K546" s="4">
        <v>1.0</v>
      </c>
      <c r="L546" s="4" t="s">
        <v>33</v>
      </c>
      <c r="M546" s="4" t="s">
        <v>18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 t="s">
        <v>589</v>
      </c>
      <c r="B547" s="4" t="s">
        <v>14</v>
      </c>
      <c r="C547" s="4" t="s">
        <v>20</v>
      </c>
      <c r="D547" s="5">
        <v>0.0</v>
      </c>
      <c r="E547" s="4" t="s">
        <v>16</v>
      </c>
      <c r="F547" s="4" t="s">
        <v>15</v>
      </c>
      <c r="G547" s="4">
        <v>2768.0</v>
      </c>
      <c r="H547" s="4">
        <v>1950.0</v>
      </c>
      <c r="I547" s="4">
        <v>155.0</v>
      </c>
      <c r="J547" s="4">
        <v>360.0</v>
      </c>
      <c r="K547" s="4">
        <v>1.0</v>
      </c>
      <c r="L547" s="4" t="s">
        <v>21</v>
      </c>
      <c r="M547" s="4" t="s">
        <v>18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 t="s">
        <v>590</v>
      </c>
      <c r="B548" s="4" t="s">
        <v>14</v>
      </c>
      <c r="C548" s="4" t="s">
        <v>15</v>
      </c>
      <c r="D548" s="5">
        <v>0.0</v>
      </c>
      <c r="E548" s="4" t="s">
        <v>25</v>
      </c>
      <c r="F548" s="4" t="s">
        <v>15</v>
      </c>
      <c r="G548" s="4">
        <v>3358.0</v>
      </c>
      <c r="H548" s="4">
        <v>0.0</v>
      </c>
      <c r="I548" s="4">
        <v>80.0</v>
      </c>
      <c r="J548" s="4">
        <v>36.0</v>
      </c>
      <c r="K548" s="4">
        <v>1.0</v>
      </c>
      <c r="L548" s="4" t="s">
        <v>33</v>
      </c>
      <c r="M548" s="4" t="s">
        <v>22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 t="s">
        <v>591</v>
      </c>
      <c r="B549" s="4" t="s">
        <v>14</v>
      </c>
      <c r="C549" s="4" t="s">
        <v>15</v>
      </c>
      <c r="D549" s="5">
        <v>0.0</v>
      </c>
      <c r="E549" s="4" t="s">
        <v>16</v>
      </c>
      <c r="F549" s="4" t="s">
        <v>15</v>
      </c>
      <c r="G549" s="4">
        <v>2526.0</v>
      </c>
      <c r="H549" s="4">
        <v>1783.0</v>
      </c>
      <c r="I549" s="4">
        <v>145.0</v>
      </c>
      <c r="J549" s="4">
        <v>360.0</v>
      </c>
      <c r="K549" s="4">
        <v>1.0</v>
      </c>
      <c r="L549" s="4" t="s">
        <v>21</v>
      </c>
      <c r="M549" s="4" t="s">
        <v>18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 t="s">
        <v>592</v>
      </c>
      <c r="B550" s="4" t="s">
        <v>54</v>
      </c>
      <c r="C550" s="4" t="s">
        <v>15</v>
      </c>
      <c r="D550" s="5">
        <v>0.0</v>
      </c>
      <c r="E550" s="4" t="s">
        <v>16</v>
      </c>
      <c r="F550" s="4" t="s">
        <v>15</v>
      </c>
      <c r="G550" s="4">
        <v>5000.0</v>
      </c>
      <c r="H550" s="4">
        <v>0.0</v>
      </c>
      <c r="I550" s="4">
        <v>103.0</v>
      </c>
      <c r="J550" s="4">
        <v>360.0</v>
      </c>
      <c r="K550" s="4">
        <v>0.0</v>
      </c>
      <c r="L550" s="4" t="s">
        <v>33</v>
      </c>
      <c r="M550" s="4" t="s">
        <v>22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 t="s">
        <v>593</v>
      </c>
      <c r="B551" s="4" t="s">
        <v>14</v>
      </c>
      <c r="C551" s="4" t="s">
        <v>20</v>
      </c>
      <c r="D551" s="5">
        <v>0.0</v>
      </c>
      <c r="E551" s="4" t="s">
        <v>16</v>
      </c>
      <c r="F551" s="4" t="s">
        <v>15</v>
      </c>
      <c r="G551" s="4">
        <v>2785.0</v>
      </c>
      <c r="H551" s="4">
        <v>2016.0</v>
      </c>
      <c r="I551" s="4">
        <v>110.0</v>
      </c>
      <c r="J551" s="4">
        <v>360.0</v>
      </c>
      <c r="K551" s="4">
        <v>1.0</v>
      </c>
      <c r="L551" s="4" t="s">
        <v>21</v>
      </c>
      <c r="M551" s="4" t="s">
        <v>18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 t="s">
        <v>594</v>
      </c>
      <c r="B552" s="4" t="s">
        <v>14</v>
      </c>
      <c r="C552" s="4" t="s">
        <v>20</v>
      </c>
      <c r="D552" s="5">
        <v>2.0</v>
      </c>
      <c r="E552" s="4" t="s">
        <v>16</v>
      </c>
      <c r="F552" s="4" t="s">
        <v>20</v>
      </c>
      <c r="G552" s="4">
        <v>6633.0</v>
      </c>
      <c r="H552" s="4">
        <v>0.0</v>
      </c>
      <c r="I552" s="4">
        <v>128.0</v>
      </c>
      <c r="J552" s="4">
        <v>360.0</v>
      </c>
      <c r="K552" s="4">
        <v>0.0</v>
      </c>
      <c r="L552" s="4" t="s">
        <v>21</v>
      </c>
      <c r="M552" s="4" t="s">
        <v>22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 t="s">
        <v>595</v>
      </c>
      <c r="B553" s="4" t="s">
        <v>14</v>
      </c>
      <c r="C553" s="4" t="s">
        <v>20</v>
      </c>
      <c r="D553" s="5">
        <v>1.0</v>
      </c>
      <c r="E553" s="4" t="s">
        <v>25</v>
      </c>
      <c r="F553" s="4" t="s">
        <v>15</v>
      </c>
      <c r="G553" s="4">
        <v>2492.0</v>
      </c>
      <c r="H553" s="4">
        <v>2375.0</v>
      </c>
      <c r="I553" s="4">
        <v>128.0</v>
      </c>
      <c r="J553" s="4">
        <v>360.0</v>
      </c>
      <c r="K553" s="4">
        <v>1.0</v>
      </c>
      <c r="L553" s="4" t="s">
        <v>21</v>
      </c>
      <c r="M553" s="4" t="s">
        <v>18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 t="s">
        <v>596</v>
      </c>
      <c r="B554" s="4" t="s">
        <v>14</v>
      </c>
      <c r="C554" s="4" t="s">
        <v>20</v>
      </c>
      <c r="D554" s="5">
        <v>1.0</v>
      </c>
      <c r="E554" s="4" t="s">
        <v>16</v>
      </c>
      <c r="F554" s="4" t="s">
        <v>15</v>
      </c>
      <c r="G554" s="4">
        <v>3333.0</v>
      </c>
      <c r="H554" s="4">
        <v>3250.0</v>
      </c>
      <c r="I554" s="4">
        <v>158.0</v>
      </c>
      <c r="J554" s="4">
        <v>360.0</v>
      </c>
      <c r="K554" s="4">
        <v>1.0</v>
      </c>
      <c r="L554" s="4" t="s">
        <v>17</v>
      </c>
      <c r="M554" s="4" t="s">
        <v>18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 t="s">
        <v>597</v>
      </c>
      <c r="B555" s="4" t="s">
        <v>14</v>
      </c>
      <c r="C555" s="4" t="s">
        <v>20</v>
      </c>
      <c r="D555" s="5">
        <v>0.0</v>
      </c>
      <c r="E555" s="4" t="s">
        <v>25</v>
      </c>
      <c r="F555" s="4" t="s">
        <v>15</v>
      </c>
      <c r="G555" s="4">
        <v>2454.0</v>
      </c>
      <c r="H555" s="4">
        <v>2333.0</v>
      </c>
      <c r="I555" s="4">
        <v>181.0</v>
      </c>
      <c r="J555" s="4">
        <v>360.0</v>
      </c>
      <c r="K555" s="4">
        <v>0.0</v>
      </c>
      <c r="L555" s="4" t="s">
        <v>17</v>
      </c>
      <c r="M555" s="4" t="s">
        <v>22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 t="s">
        <v>598</v>
      </c>
      <c r="B556" s="4" t="s">
        <v>14</v>
      </c>
      <c r="C556" s="4" t="s">
        <v>20</v>
      </c>
      <c r="D556" s="5">
        <v>0.0</v>
      </c>
      <c r="E556" s="4" t="s">
        <v>16</v>
      </c>
      <c r="F556" s="4" t="s">
        <v>15</v>
      </c>
      <c r="G556" s="4">
        <v>3593.0</v>
      </c>
      <c r="H556" s="4">
        <v>4266.0</v>
      </c>
      <c r="I556" s="4">
        <v>132.0</v>
      </c>
      <c r="J556" s="4">
        <v>180.0</v>
      </c>
      <c r="K556" s="4">
        <v>0.0</v>
      </c>
      <c r="L556" s="4" t="s">
        <v>21</v>
      </c>
      <c r="M556" s="4" t="s">
        <v>22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 t="s">
        <v>599</v>
      </c>
      <c r="B557" s="4" t="s">
        <v>14</v>
      </c>
      <c r="C557" s="4" t="s">
        <v>20</v>
      </c>
      <c r="D557" s="5">
        <v>1.0</v>
      </c>
      <c r="E557" s="4" t="s">
        <v>16</v>
      </c>
      <c r="F557" s="4" t="s">
        <v>15</v>
      </c>
      <c r="G557" s="4">
        <v>5468.0</v>
      </c>
      <c r="H557" s="4">
        <v>1032.0</v>
      </c>
      <c r="I557" s="4">
        <v>26.0</v>
      </c>
      <c r="J557" s="4">
        <v>360.0</v>
      </c>
      <c r="K557" s="4">
        <v>1.0</v>
      </c>
      <c r="L557" s="4" t="s">
        <v>33</v>
      </c>
      <c r="M557" s="4" t="s">
        <v>18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 t="s">
        <v>600</v>
      </c>
      <c r="B558" s="4" t="s">
        <v>54</v>
      </c>
      <c r="C558" s="4" t="s">
        <v>15</v>
      </c>
      <c r="D558" s="5">
        <v>0.0</v>
      </c>
      <c r="E558" s="4" t="s">
        <v>16</v>
      </c>
      <c r="F558" s="4" t="s">
        <v>15</v>
      </c>
      <c r="G558" s="4">
        <v>2667.0</v>
      </c>
      <c r="H558" s="4">
        <v>1625.0</v>
      </c>
      <c r="I558" s="4">
        <v>84.0</v>
      </c>
      <c r="J558" s="4">
        <v>360.0</v>
      </c>
      <c r="K558" s="4">
        <v>1.0</v>
      </c>
      <c r="L558" s="4" t="s">
        <v>17</v>
      </c>
      <c r="M558" s="4" t="s">
        <v>18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 t="s">
        <v>601</v>
      </c>
      <c r="B559" s="4" t="s">
        <v>14</v>
      </c>
      <c r="C559" s="4" t="s">
        <v>20</v>
      </c>
      <c r="D559" s="5" t="s">
        <v>32</v>
      </c>
      <c r="E559" s="4" t="s">
        <v>16</v>
      </c>
      <c r="F559" s="4" t="s">
        <v>20</v>
      </c>
      <c r="G559" s="4">
        <v>10139.0</v>
      </c>
      <c r="H559" s="4">
        <v>0.0</v>
      </c>
      <c r="I559" s="4">
        <v>260.0</v>
      </c>
      <c r="J559" s="4">
        <v>360.0</v>
      </c>
      <c r="K559" s="4">
        <v>1.0</v>
      </c>
      <c r="L559" s="4" t="s">
        <v>33</v>
      </c>
      <c r="M559" s="4" t="s">
        <v>18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 t="s">
        <v>602</v>
      </c>
      <c r="B560" s="4" t="s">
        <v>14</v>
      </c>
      <c r="C560" s="4" t="s">
        <v>20</v>
      </c>
      <c r="D560" s="5">
        <v>0.0</v>
      </c>
      <c r="E560" s="4" t="s">
        <v>16</v>
      </c>
      <c r="F560" s="4" t="s">
        <v>15</v>
      </c>
      <c r="G560" s="4">
        <v>3887.0</v>
      </c>
      <c r="H560" s="4">
        <v>2669.0</v>
      </c>
      <c r="I560" s="4">
        <v>162.0</v>
      </c>
      <c r="J560" s="4">
        <v>360.0</v>
      </c>
      <c r="K560" s="4">
        <v>1.0</v>
      </c>
      <c r="L560" s="4" t="s">
        <v>33</v>
      </c>
      <c r="M560" s="4" t="s">
        <v>18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 t="s">
        <v>603</v>
      </c>
      <c r="B561" s="4" t="s">
        <v>54</v>
      </c>
      <c r="C561" s="4" t="s">
        <v>20</v>
      </c>
      <c r="D561" s="5">
        <v>0.0</v>
      </c>
      <c r="E561" s="4" t="s">
        <v>16</v>
      </c>
      <c r="F561" s="4" t="s">
        <v>15</v>
      </c>
      <c r="G561" s="4">
        <v>4180.0</v>
      </c>
      <c r="H561" s="4">
        <v>2306.0</v>
      </c>
      <c r="I561" s="4">
        <v>182.0</v>
      </c>
      <c r="J561" s="4">
        <v>360.0</v>
      </c>
      <c r="K561" s="4">
        <v>1.0</v>
      </c>
      <c r="L561" s="4" t="s">
        <v>33</v>
      </c>
      <c r="M561" s="4" t="s">
        <v>18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 t="s">
        <v>604</v>
      </c>
      <c r="B562" s="4" t="s">
        <v>14</v>
      </c>
      <c r="C562" s="4" t="s">
        <v>20</v>
      </c>
      <c r="D562" s="5">
        <v>2.0</v>
      </c>
      <c r="E562" s="4" t="s">
        <v>25</v>
      </c>
      <c r="F562" s="4" t="s">
        <v>15</v>
      </c>
      <c r="G562" s="4">
        <v>3675.0</v>
      </c>
      <c r="H562" s="4">
        <v>242.0</v>
      </c>
      <c r="I562" s="4">
        <v>108.0</v>
      </c>
      <c r="J562" s="4">
        <v>360.0</v>
      </c>
      <c r="K562" s="4">
        <v>1.0</v>
      </c>
      <c r="L562" s="4" t="s">
        <v>33</v>
      </c>
      <c r="M562" s="4" t="s">
        <v>18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 t="s">
        <v>605</v>
      </c>
      <c r="B563" s="4" t="s">
        <v>54</v>
      </c>
      <c r="C563" s="4" t="s">
        <v>20</v>
      </c>
      <c r="D563" s="5">
        <v>1.0</v>
      </c>
      <c r="E563" s="4" t="s">
        <v>16</v>
      </c>
      <c r="F563" s="4" t="s">
        <v>20</v>
      </c>
      <c r="G563" s="4">
        <v>19484.0</v>
      </c>
      <c r="H563" s="4">
        <v>0.0</v>
      </c>
      <c r="I563" s="4">
        <v>600.0</v>
      </c>
      <c r="J563" s="4">
        <v>360.0</v>
      </c>
      <c r="K563" s="4">
        <v>1.0</v>
      </c>
      <c r="L563" s="4" t="s">
        <v>33</v>
      </c>
      <c r="M563" s="4" t="s">
        <v>18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 t="s">
        <v>606</v>
      </c>
      <c r="B564" s="4" t="s">
        <v>14</v>
      </c>
      <c r="C564" s="4" t="s">
        <v>20</v>
      </c>
      <c r="D564" s="5">
        <v>0.0</v>
      </c>
      <c r="E564" s="4" t="s">
        <v>16</v>
      </c>
      <c r="F564" s="4" t="s">
        <v>15</v>
      </c>
      <c r="G564" s="4">
        <v>5923.0</v>
      </c>
      <c r="H564" s="4">
        <v>2054.0</v>
      </c>
      <c r="I564" s="4">
        <v>211.0</v>
      </c>
      <c r="J564" s="4">
        <v>360.0</v>
      </c>
      <c r="K564" s="4">
        <v>1.0</v>
      </c>
      <c r="L564" s="4" t="s">
        <v>21</v>
      </c>
      <c r="M564" s="4" t="s">
        <v>18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 t="s">
        <v>607</v>
      </c>
      <c r="B565" s="4" t="s">
        <v>14</v>
      </c>
      <c r="C565" s="4" t="s">
        <v>15</v>
      </c>
      <c r="D565" s="5">
        <v>0.0</v>
      </c>
      <c r="E565" s="4" t="s">
        <v>25</v>
      </c>
      <c r="F565" s="4" t="s">
        <v>20</v>
      </c>
      <c r="G565" s="4">
        <v>5800.0</v>
      </c>
      <c r="H565" s="4">
        <v>0.0</v>
      </c>
      <c r="I565" s="4">
        <v>132.0</v>
      </c>
      <c r="J565" s="4">
        <v>360.0</v>
      </c>
      <c r="K565" s="4">
        <v>1.0</v>
      </c>
      <c r="L565" s="4" t="s">
        <v>33</v>
      </c>
      <c r="M565" s="4" t="s">
        <v>18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 t="s">
        <v>608</v>
      </c>
      <c r="B566" s="4" t="s">
        <v>14</v>
      </c>
      <c r="C566" s="4" t="s">
        <v>20</v>
      </c>
      <c r="D566" s="5">
        <v>2.0</v>
      </c>
      <c r="E566" s="4" t="s">
        <v>16</v>
      </c>
      <c r="F566" s="4" t="s">
        <v>15</v>
      </c>
      <c r="G566" s="4">
        <v>8799.0</v>
      </c>
      <c r="H566" s="4">
        <v>0.0</v>
      </c>
      <c r="I566" s="4">
        <v>258.0</v>
      </c>
      <c r="J566" s="4">
        <v>360.0</v>
      </c>
      <c r="K566" s="4">
        <v>0.0</v>
      </c>
      <c r="L566" s="4" t="s">
        <v>17</v>
      </c>
      <c r="M566" s="4" t="s">
        <v>22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 t="s">
        <v>609</v>
      </c>
      <c r="B567" s="4" t="s">
        <v>14</v>
      </c>
      <c r="C567" s="4" t="s">
        <v>20</v>
      </c>
      <c r="D567" s="5">
        <v>0.0</v>
      </c>
      <c r="E567" s="4" t="s">
        <v>25</v>
      </c>
      <c r="F567" s="4" t="s">
        <v>15</v>
      </c>
      <c r="G567" s="4">
        <v>4467.0</v>
      </c>
      <c r="H567" s="4">
        <v>0.0</v>
      </c>
      <c r="I567" s="4">
        <v>120.0</v>
      </c>
      <c r="J567" s="4">
        <v>360.0</v>
      </c>
      <c r="K567" s="4">
        <v>1.0</v>
      </c>
      <c r="L567" s="4" t="s">
        <v>21</v>
      </c>
      <c r="M567" s="4" t="s">
        <v>18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 t="s">
        <v>610</v>
      </c>
      <c r="B568" s="4" t="s">
        <v>14</v>
      </c>
      <c r="C568" s="4" t="s">
        <v>15</v>
      </c>
      <c r="D568" s="5">
        <v>0.0</v>
      </c>
      <c r="E568" s="4" t="s">
        <v>16</v>
      </c>
      <c r="F568" s="4" t="s">
        <v>15</v>
      </c>
      <c r="G568" s="4">
        <v>3333.0</v>
      </c>
      <c r="H568" s="4">
        <v>0.0</v>
      </c>
      <c r="I568" s="4">
        <v>70.0</v>
      </c>
      <c r="J568" s="4">
        <v>360.0</v>
      </c>
      <c r="K568" s="4">
        <v>1.0</v>
      </c>
      <c r="L568" s="4" t="s">
        <v>17</v>
      </c>
      <c r="M568" s="4" t="s">
        <v>18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 t="s">
        <v>611</v>
      </c>
      <c r="B569" s="4" t="s">
        <v>14</v>
      </c>
      <c r="C569" s="4" t="s">
        <v>20</v>
      </c>
      <c r="D569" s="5" t="s">
        <v>32</v>
      </c>
      <c r="E569" s="4" t="s">
        <v>16</v>
      </c>
      <c r="F569" s="4" t="s">
        <v>15</v>
      </c>
      <c r="G569" s="4">
        <v>3400.0</v>
      </c>
      <c r="H569" s="4">
        <v>2500.0</v>
      </c>
      <c r="I569" s="4">
        <v>123.0</v>
      </c>
      <c r="J569" s="4">
        <v>360.0</v>
      </c>
      <c r="K569" s="4">
        <v>0.0</v>
      </c>
      <c r="L569" s="4" t="s">
        <v>21</v>
      </c>
      <c r="M569" s="4" t="s">
        <v>22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 t="s">
        <v>612</v>
      </c>
      <c r="B570" s="4" t="s">
        <v>54</v>
      </c>
      <c r="C570" s="4" t="s">
        <v>15</v>
      </c>
      <c r="D570" s="5">
        <v>0.0</v>
      </c>
      <c r="E570" s="4" t="s">
        <v>16</v>
      </c>
      <c r="F570" s="4" t="s">
        <v>15</v>
      </c>
      <c r="G570" s="4">
        <v>2378.0</v>
      </c>
      <c r="H570" s="4">
        <v>0.0</v>
      </c>
      <c r="I570" s="4">
        <v>9.0</v>
      </c>
      <c r="J570" s="4">
        <v>360.0</v>
      </c>
      <c r="K570" s="4">
        <v>1.0</v>
      </c>
      <c r="L570" s="4" t="s">
        <v>17</v>
      </c>
      <c r="M570" s="4" t="s">
        <v>22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 t="s">
        <v>613</v>
      </c>
      <c r="B571" s="4" t="s">
        <v>14</v>
      </c>
      <c r="C571" s="4" t="s">
        <v>20</v>
      </c>
      <c r="D571" s="5">
        <v>0.0</v>
      </c>
      <c r="E571" s="4" t="s">
        <v>16</v>
      </c>
      <c r="F571" s="4" t="s">
        <v>15</v>
      </c>
      <c r="G571" s="4">
        <v>3166.0</v>
      </c>
      <c r="H571" s="4">
        <v>2064.0</v>
      </c>
      <c r="I571" s="4">
        <v>104.0</v>
      </c>
      <c r="J571" s="4">
        <v>360.0</v>
      </c>
      <c r="K571" s="4">
        <v>0.0</v>
      </c>
      <c r="L571" s="4" t="s">
        <v>17</v>
      </c>
      <c r="M571" s="4" t="s">
        <v>22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 t="s">
        <v>614</v>
      </c>
      <c r="B572" s="4" t="s">
        <v>14</v>
      </c>
      <c r="C572" s="4" t="s">
        <v>20</v>
      </c>
      <c r="D572" s="5">
        <v>1.0</v>
      </c>
      <c r="E572" s="4" t="s">
        <v>16</v>
      </c>
      <c r="F572" s="4" t="s">
        <v>15</v>
      </c>
      <c r="G572" s="4">
        <v>3417.0</v>
      </c>
      <c r="H572" s="4">
        <v>1750.0</v>
      </c>
      <c r="I572" s="4">
        <v>186.0</v>
      </c>
      <c r="J572" s="4">
        <v>360.0</v>
      </c>
      <c r="K572" s="4">
        <v>1.0</v>
      </c>
      <c r="L572" s="4" t="s">
        <v>17</v>
      </c>
      <c r="M572" s="4" t="s">
        <v>18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 t="s">
        <v>615</v>
      </c>
      <c r="B573" s="4" t="s">
        <v>14</v>
      </c>
      <c r="C573" s="4" t="s">
        <v>20</v>
      </c>
      <c r="D573" s="5">
        <v>0.0</v>
      </c>
      <c r="E573" s="4" t="s">
        <v>16</v>
      </c>
      <c r="F573" s="4" t="s">
        <v>15</v>
      </c>
      <c r="G573" s="4">
        <v>5116.0</v>
      </c>
      <c r="H573" s="4">
        <v>1451.0</v>
      </c>
      <c r="I573" s="4">
        <v>165.0</v>
      </c>
      <c r="J573" s="4">
        <v>360.0</v>
      </c>
      <c r="K573" s="4">
        <v>0.0</v>
      </c>
      <c r="L573" s="4" t="s">
        <v>17</v>
      </c>
      <c r="M573" s="4" t="s">
        <v>22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 t="s">
        <v>616</v>
      </c>
      <c r="B574" s="4" t="s">
        <v>14</v>
      </c>
      <c r="C574" s="4" t="s">
        <v>20</v>
      </c>
      <c r="D574" s="5">
        <v>2.0</v>
      </c>
      <c r="E574" s="4" t="s">
        <v>16</v>
      </c>
      <c r="F574" s="4" t="s">
        <v>15</v>
      </c>
      <c r="G574" s="4">
        <v>16666.0</v>
      </c>
      <c r="H574" s="4">
        <v>0.0</v>
      </c>
      <c r="I574" s="4">
        <v>275.0</v>
      </c>
      <c r="J574" s="4">
        <v>360.0</v>
      </c>
      <c r="K574" s="4">
        <v>1.0</v>
      </c>
      <c r="L574" s="4" t="s">
        <v>17</v>
      </c>
      <c r="M574" s="4" t="s">
        <v>18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 t="s">
        <v>617</v>
      </c>
      <c r="B575" s="4" t="s">
        <v>14</v>
      </c>
      <c r="C575" s="4" t="s">
        <v>20</v>
      </c>
      <c r="D575" s="5">
        <v>2.0</v>
      </c>
      <c r="E575" s="4" t="s">
        <v>25</v>
      </c>
      <c r="F575" s="4" t="s">
        <v>15</v>
      </c>
      <c r="G575" s="4">
        <v>6125.0</v>
      </c>
      <c r="H575" s="4">
        <v>1625.0</v>
      </c>
      <c r="I575" s="4">
        <v>187.0</v>
      </c>
      <c r="J575" s="4">
        <v>480.0</v>
      </c>
      <c r="K575" s="4">
        <v>1.0</v>
      </c>
      <c r="L575" s="4" t="s">
        <v>33</v>
      </c>
      <c r="M575" s="4" t="s">
        <v>22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 t="s">
        <v>618</v>
      </c>
      <c r="B576" s="4" t="s">
        <v>14</v>
      </c>
      <c r="C576" s="4" t="s">
        <v>20</v>
      </c>
      <c r="D576" s="5" t="s">
        <v>32</v>
      </c>
      <c r="E576" s="4" t="s">
        <v>16</v>
      </c>
      <c r="F576" s="4" t="s">
        <v>15</v>
      </c>
      <c r="G576" s="4">
        <v>6406.0</v>
      </c>
      <c r="H576" s="4">
        <v>0.0</v>
      </c>
      <c r="I576" s="4">
        <v>150.0</v>
      </c>
      <c r="J576" s="4">
        <v>360.0</v>
      </c>
      <c r="K576" s="4">
        <v>1.0</v>
      </c>
      <c r="L576" s="4" t="s">
        <v>33</v>
      </c>
      <c r="M576" s="4" t="s">
        <v>22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 t="s">
        <v>619</v>
      </c>
      <c r="B577" s="4" t="s">
        <v>14</v>
      </c>
      <c r="C577" s="4" t="s">
        <v>20</v>
      </c>
      <c r="D577" s="5">
        <v>2.0</v>
      </c>
      <c r="E577" s="4" t="s">
        <v>16</v>
      </c>
      <c r="F577" s="4" t="s">
        <v>15</v>
      </c>
      <c r="G577" s="4">
        <v>3159.0</v>
      </c>
      <c r="H577" s="4">
        <v>461.0</v>
      </c>
      <c r="I577" s="4">
        <v>108.0</v>
      </c>
      <c r="J577" s="4">
        <v>84.0</v>
      </c>
      <c r="K577" s="4">
        <v>1.0</v>
      </c>
      <c r="L577" s="4" t="s">
        <v>17</v>
      </c>
      <c r="M577" s="4" t="s">
        <v>18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 t="s">
        <v>620</v>
      </c>
      <c r="B578" s="4" t="s">
        <v>14</v>
      </c>
      <c r="C578" s="4" t="s">
        <v>20</v>
      </c>
      <c r="D578" s="5">
        <v>0.0</v>
      </c>
      <c r="E578" s="4" t="s">
        <v>16</v>
      </c>
      <c r="F578" s="4" t="s">
        <v>15</v>
      </c>
      <c r="G578" s="4">
        <v>3087.0</v>
      </c>
      <c r="H578" s="4">
        <v>2210.0</v>
      </c>
      <c r="I578" s="4">
        <v>136.0</v>
      </c>
      <c r="J578" s="4">
        <v>360.0</v>
      </c>
      <c r="K578" s="4">
        <v>0.0</v>
      </c>
      <c r="L578" s="4" t="s">
        <v>33</v>
      </c>
      <c r="M578" s="4" t="s">
        <v>22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 t="s">
        <v>621</v>
      </c>
      <c r="B579" s="4" t="s">
        <v>14</v>
      </c>
      <c r="C579" s="4" t="s">
        <v>15</v>
      </c>
      <c r="D579" s="5">
        <v>0.0</v>
      </c>
      <c r="E579" s="4" t="s">
        <v>16</v>
      </c>
      <c r="F579" s="4" t="s">
        <v>15</v>
      </c>
      <c r="G579" s="4">
        <v>3229.0</v>
      </c>
      <c r="H579" s="4">
        <v>2739.0</v>
      </c>
      <c r="I579" s="4">
        <v>110.0</v>
      </c>
      <c r="J579" s="4">
        <v>360.0</v>
      </c>
      <c r="K579" s="4">
        <v>1.0</v>
      </c>
      <c r="L579" s="4" t="s">
        <v>17</v>
      </c>
      <c r="M579" s="4" t="s">
        <v>18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 t="s">
        <v>622</v>
      </c>
      <c r="B580" s="4" t="s">
        <v>14</v>
      </c>
      <c r="C580" s="4" t="s">
        <v>20</v>
      </c>
      <c r="D580" s="5">
        <v>1.0</v>
      </c>
      <c r="E580" s="4" t="s">
        <v>16</v>
      </c>
      <c r="F580" s="4" t="s">
        <v>15</v>
      </c>
      <c r="G580" s="4">
        <v>1782.0</v>
      </c>
      <c r="H580" s="4">
        <v>2232.0</v>
      </c>
      <c r="I580" s="4">
        <v>107.0</v>
      </c>
      <c r="J580" s="4">
        <v>360.0</v>
      </c>
      <c r="K580" s="4">
        <v>1.0</v>
      </c>
      <c r="L580" s="4" t="s">
        <v>21</v>
      </c>
      <c r="M580" s="4" t="s">
        <v>18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 t="s">
        <v>623</v>
      </c>
      <c r="B581" s="4" t="s">
        <v>14</v>
      </c>
      <c r="C581" s="4" t="s">
        <v>15</v>
      </c>
      <c r="D581" s="5">
        <v>0.0</v>
      </c>
      <c r="E581" s="4" t="s">
        <v>16</v>
      </c>
      <c r="F581" s="4" t="s">
        <v>15</v>
      </c>
      <c r="G581" s="4">
        <v>3182.0</v>
      </c>
      <c r="H581" s="4">
        <v>2917.0</v>
      </c>
      <c r="I581" s="4">
        <v>161.0</v>
      </c>
      <c r="J581" s="4">
        <v>360.0</v>
      </c>
      <c r="K581" s="4">
        <v>1.0</v>
      </c>
      <c r="L581" s="4" t="s">
        <v>17</v>
      </c>
      <c r="M581" s="4" t="s">
        <v>18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 t="s">
        <v>624</v>
      </c>
      <c r="B582" s="4" t="s">
        <v>14</v>
      </c>
      <c r="C582" s="4" t="s">
        <v>20</v>
      </c>
      <c r="D582" s="5">
        <v>2.0</v>
      </c>
      <c r="E582" s="4" t="s">
        <v>16</v>
      </c>
      <c r="F582" s="4" t="s">
        <v>15</v>
      </c>
      <c r="G582" s="4">
        <v>6540.0</v>
      </c>
      <c r="H582" s="4">
        <v>0.0</v>
      </c>
      <c r="I582" s="4">
        <v>205.0</v>
      </c>
      <c r="J582" s="4">
        <v>360.0</v>
      </c>
      <c r="K582" s="4">
        <v>1.0</v>
      </c>
      <c r="L582" s="4" t="s">
        <v>33</v>
      </c>
      <c r="M582" s="4" t="s">
        <v>18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 t="s">
        <v>625</v>
      </c>
      <c r="B583" s="4" t="s">
        <v>14</v>
      </c>
      <c r="C583" s="4" t="s">
        <v>15</v>
      </c>
      <c r="D583" s="5">
        <v>0.0</v>
      </c>
      <c r="E583" s="4" t="s">
        <v>16</v>
      </c>
      <c r="F583" s="4" t="s">
        <v>15</v>
      </c>
      <c r="G583" s="4">
        <v>1836.0</v>
      </c>
      <c r="H583" s="4">
        <v>33837.0</v>
      </c>
      <c r="I583" s="4">
        <v>90.0</v>
      </c>
      <c r="J583" s="4">
        <v>360.0</v>
      </c>
      <c r="K583" s="4">
        <v>1.0</v>
      </c>
      <c r="L583" s="4" t="s">
        <v>17</v>
      </c>
      <c r="M583" s="4" t="s">
        <v>22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 t="s">
        <v>626</v>
      </c>
      <c r="B584" s="4" t="s">
        <v>54</v>
      </c>
      <c r="C584" s="4" t="s">
        <v>20</v>
      </c>
      <c r="D584" s="5">
        <v>0.0</v>
      </c>
      <c r="E584" s="4" t="s">
        <v>16</v>
      </c>
      <c r="F584" s="4" t="s">
        <v>15</v>
      </c>
      <c r="G584" s="4">
        <v>3166.0</v>
      </c>
      <c r="H584" s="4">
        <v>0.0</v>
      </c>
      <c r="I584" s="4">
        <v>36.0</v>
      </c>
      <c r="J584" s="4">
        <v>360.0</v>
      </c>
      <c r="K584" s="4">
        <v>1.0</v>
      </c>
      <c r="L584" s="4" t="s">
        <v>33</v>
      </c>
      <c r="M584" s="4" t="s">
        <v>18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 t="s">
        <v>627</v>
      </c>
      <c r="B585" s="4" t="s">
        <v>14</v>
      </c>
      <c r="C585" s="4" t="s">
        <v>20</v>
      </c>
      <c r="D585" s="5">
        <v>1.0</v>
      </c>
      <c r="E585" s="4" t="s">
        <v>16</v>
      </c>
      <c r="F585" s="4" t="s">
        <v>15</v>
      </c>
      <c r="G585" s="4">
        <v>1880.0</v>
      </c>
      <c r="H585" s="4">
        <v>0.0</v>
      </c>
      <c r="I585" s="4">
        <v>61.0</v>
      </c>
      <c r="J585" s="4">
        <v>360.0</v>
      </c>
      <c r="K585" s="4">
        <v>1.0</v>
      </c>
      <c r="L585" s="4" t="s">
        <v>21</v>
      </c>
      <c r="M585" s="4" t="s">
        <v>22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 t="s">
        <v>628</v>
      </c>
      <c r="B586" s="4" t="s">
        <v>14</v>
      </c>
      <c r="C586" s="4" t="s">
        <v>20</v>
      </c>
      <c r="D586" s="5">
        <v>1.0</v>
      </c>
      <c r="E586" s="4" t="s">
        <v>16</v>
      </c>
      <c r="F586" s="4" t="s">
        <v>15</v>
      </c>
      <c r="G586" s="4">
        <v>2787.0</v>
      </c>
      <c r="H586" s="4">
        <v>1917.0</v>
      </c>
      <c r="I586" s="4">
        <v>146.0</v>
      </c>
      <c r="J586" s="4">
        <v>360.0</v>
      </c>
      <c r="K586" s="4">
        <v>0.0</v>
      </c>
      <c r="L586" s="4" t="s">
        <v>21</v>
      </c>
      <c r="M586" s="4" t="s">
        <v>22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 t="s">
        <v>629</v>
      </c>
      <c r="B587" s="4" t="s">
        <v>14</v>
      </c>
      <c r="C587" s="4" t="s">
        <v>20</v>
      </c>
      <c r="D587" s="5">
        <v>1.0</v>
      </c>
      <c r="E587" s="4" t="s">
        <v>16</v>
      </c>
      <c r="F587" s="4" t="s">
        <v>15</v>
      </c>
      <c r="G587" s="4">
        <v>4283.0</v>
      </c>
      <c r="H587" s="4">
        <v>3000.0</v>
      </c>
      <c r="I587" s="4">
        <v>172.0</v>
      </c>
      <c r="J587" s="4">
        <v>84.0</v>
      </c>
      <c r="K587" s="4">
        <v>1.0</v>
      </c>
      <c r="L587" s="4" t="s">
        <v>21</v>
      </c>
      <c r="M587" s="4" t="s">
        <v>22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 t="s">
        <v>630</v>
      </c>
      <c r="B588" s="4" t="s">
        <v>14</v>
      </c>
      <c r="C588" s="4" t="s">
        <v>20</v>
      </c>
      <c r="D588" s="5">
        <v>0.0</v>
      </c>
      <c r="E588" s="4" t="s">
        <v>16</v>
      </c>
      <c r="F588" s="4" t="s">
        <v>15</v>
      </c>
      <c r="G588" s="4">
        <v>2297.0</v>
      </c>
      <c r="H588" s="4">
        <v>1522.0</v>
      </c>
      <c r="I588" s="4">
        <v>104.0</v>
      </c>
      <c r="J588" s="4">
        <v>360.0</v>
      </c>
      <c r="K588" s="4">
        <v>1.0</v>
      </c>
      <c r="L588" s="4" t="s">
        <v>17</v>
      </c>
      <c r="M588" s="4" t="s">
        <v>18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 t="s">
        <v>631</v>
      </c>
      <c r="B589" s="4" t="s">
        <v>54</v>
      </c>
      <c r="C589" s="4" t="s">
        <v>15</v>
      </c>
      <c r="D589" s="5">
        <v>0.0</v>
      </c>
      <c r="E589" s="4" t="s">
        <v>25</v>
      </c>
      <c r="F589" s="4" t="s">
        <v>15</v>
      </c>
      <c r="G589" s="4">
        <v>2165.0</v>
      </c>
      <c r="H589" s="4">
        <v>0.0</v>
      </c>
      <c r="I589" s="4">
        <v>70.0</v>
      </c>
      <c r="J589" s="4">
        <v>360.0</v>
      </c>
      <c r="K589" s="4">
        <v>1.0</v>
      </c>
      <c r="L589" s="4" t="s">
        <v>33</v>
      </c>
      <c r="M589" s="4" t="s">
        <v>18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 t="s">
        <v>632</v>
      </c>
      <c r="B590" s="4" t="s">
        <v>14</v>
      </c>
      <c r="C590" s="4" t="s">
        <v>15</v>
      </c>
      <c r="D590" s="5">
        <v>0.0</v>
      </c>
      <c r="E590" s="4" t="s">
        <v>16</v>
      </c>
      <c r="F590" s="4" t="s">
        <v>15</v>
      </c>
      <c r="G590" s="4">
        <v>4750.0</v>
      </c>
      <c r="H590" s="4">
        <v>0.0</v>
      </c>
      <c r="I590" s="4">
        <v>94.0</v>
      </c>
      <c r="J590" s="4">
        <v>360.0</v>
      </c>
      <c r="K590" s="4">
        <v>1.0</v>
      </c>
      <c r="L590" s="4" t="s">
        <v>33</v>
      </c>
      <c r="M590" s="4" t="s">
        <v>18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 t="s">
        <v>633</v>
      </c>
      <c r="B591" s="4" t="s">
        <v>14</v>
      </c>
      <c r="C591" s="4" t="s">
        <v>20</v>
      </c>
      <c r="D591" s="5">
        <v>2.0</v>
      </c>
      <c r="E591" s="4" t="s">
        <v>16</v>
      </c>
      <c r="F591" s="4" t="s">
        <v>20</v>
      </c>
      <c r="G591" s="4">
        <v>2726.0</v>
      </c>
      <c r="H591" s="4">
        <v>0.0</v>
      </c>
      <c r="I591" s="4">
        <v>106.0</v>
      </c>
      <c r="J591" s="4">
        <v>360.0</v>
      </c>
      <c r="K591" s="4">
        <v>0.0</v>
      </c>
      <c r="L591" s="4" t="s">
        <v>33</v>
      </c>
      <c r="M591" s="4" t="s">
        <v>22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 t="s">
        <v>634</v>
      </c>
      <c r="B592" s="4" t="s">
        <v>14</v>
      </c>
      <c r="C592" s="4" t="s">
        <v>20</v>
      </c>
      <c r="D592" s="5">
        <v>0.0</v>
      </c>
      <c r="E592" s="4" t="s">
        <v>16</v>
      </c>
      <c r="F592" s="4" t="s">
        <v>15</v>
      </c>
      <c r="G592" s="4">
        <v>3000.0</v>
      </c>
      <c r="H592" s="4">
        <v>3416.0</v>
      </c>
      <c r="I592" s="4">
        <v>56.0</v>
      </c>
      <c r="J592" s="4">
        <v>180.0</v>
      </c>
      <c r="K592" s="4">
        <v>1.0</v>
      </c>
      <c r="L592" s="4" t="s">
        <v>33</v>
      </c>
      <c r="M592" s="4" t="s">
        <v>18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 t="s">
        <v>635</v>
      </c>
      <c r="B593" s="4" t="s">
        <v>14</v>
      </c>
      <c r="C593" s="4" t="s">
        <v>20</v>
      </c>
      <c r="D593" s="5">
        <v>2.0</v>
      </c>
      <c r="E593" s="4" t="s">
        <v>16</v>
      </c>
      <c r="F593" s="4" t="s">
        <v>20</v>
      </c>
      <c r="G593" s="4">
        <v>6000.0</v>
      </c>
      <c r="H593" s="4">
        <v>0.0</v>
      </c>
      <c r="I593" s="4">
        <v>205.0</v>
      </c>
      <c r="J593" s="4">
        <v>240.0</v>
      </c>
      <c r="K593" s="4">
        <v>1.0</v>
      </c>
      <c r="L593" s="4" t="s">
        <v>33</v>
      </c>
      <c r="M593" s="4" t="s">
        <v>22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 t="s">
        <v>636</v>
      </c>
      <c r="B594" s="4" t="s">
        <v>14</v>
      </c>
      <c r="C594" s="4" t="s">
        <v>15</v>
      </c>
      <c r="D594" s="5" t="s">
        <v>32</v>
      </c>
      <c r="E594" s="4" t="s">
        <v>16</v>
      </c>
      <c r="F594" s="4" t="s">
        <v>20</v>
      </c>
      <c r="G594" s="4">
        <v>9357.0</v>
      </c>
      <c r="H594" s="4">
        <v>0.0</v>
      </c>
      <c r="I594" s="4">
        <v>292.0</v>
      </c>
      <c r="J594" s="4">
        <v>360.0</v>
      </c>
      <c r="K594" s="4">
        <v>1.0</v>
      </c>
      <c r="L594" s="4" t="s">
        <v>33</v>
      </c>
      <c r="M594" s="4" t="s">
        <v>18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 t="s">
        <v>637</v>
      </c>
      <c r="B595" s="4" t="s">
        <v>14</v>
      </c>
      <c r="C595" s="4" t="s">
        <v>20</v>
      </c>
      <c r="D595" s="5">
        <v>0.0</v>
      </c>
      <c r="E595" s="4" t="s">
        <v>16</v>
      </c>
      <c r="F595" s="4" t="s">
        <v>15</v>
      </c>
      <c r="G595" s="4">
        <v>3859.0</v>
      </c>
      <c r="H595" s="4">
        <v>3300.0</v>
      </c>
      <c r="I595" s="4">
        <v>142.0</v>
      </c>
      <c r="J595" s="4">
        <v>180.0</v>
      </c>
      <c r="K595" s="4">
        <v>1.0</v>
      </c>
      <c r="L595" s="4" t="s">
        <v>21</v>
      </c>
      <c r="M595" s="4" t="s">
        <v>18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 t="s">
        <v>638</v>
      </c>
      <c r="B596" s="4" t="s">
        <v>14</v>
      </c>
      <c r="C596" s="4" t="s">
        <v>20</v>
      </c>
      <c r="D596" s="5">
        <v>0.0</v>
      </c>
      <c r="E596" s="4" t="s">
        <v>16</v>
      </c>
      <c r="F596" s="4" t="s">
        <v>20</v>
      </c>
      <c r="G596" s="4">
        <v>16120.0</v>
      </c>
      <c r="H596" s="4">
        <v>0.0</v>
      </c>
      <c r="I596" s="4">
        <v>260.0</v>
      </c>
      <c r="J596" s="4">
        <v>360.0</v>
      </c>
      <c r="K596" s="4">
        <v>1.0</v>
      </c>
      <c r="L596" s="4" t="s">
        <v>17</v>
      </c>
      <c r="M596" s="4" t="s">
        <v>18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 t="s">
        <v>639</v>
      </c>
      <c r="B597" s="4" t="s">
        <v>14</v>
      </c>
      <c r="C597" s="4" t="s">
        <v>15</v>
      </c>
      <c r="D597" s="5">
        <v>0.0</v>
      </c>
      <c r="E597" s="4" t="s">
        <v>25</v>
      </c>
      <c r="F597" s="4" t="s">
        <v>15</v>
      </c>
      <c r="G597" s="4">
        <v>3833.0</v>
      </c>
      <c r="H597" s="4">
        <v>0.0</v>
      </c>
      <c r="I597" s="4">
        <v>110.0</v>
      </c>
      <c r="J597" s="4">
        <v>360.0</v>
      </c>
      <c r="K597" s="4">
        <v>1.0</v>
      </c>
      <c r="L597" s="4" t="s">
        <v>21</v>
      </c>
      <c r="M597" s="4" t="s">
        <v>18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 t="s">
        <v>640</v>
      </c>
      <c r="B598" s="4" t="s">
        <v>14</v>
      </c>
      <c r="C598" s="4" t="s">
        <v>20</v>
      </c>
      <c r="D598" s="5">
        <v>2.0</v>
      </c>
      <c r="E598" s="4" t="s">
        <v>25</v>
      </c>
      <c r="F598" s="4" t="s">
        <v>20</v>
      </c>
      <c r="G598" s="4">
        <v>6383.0</v>
      </c>
      <c r="H598" s="4">
        <v>1000.0</v>
      </c>
      <c r="I598" s="4">
        <v>187.0</v>
      </c>
      <c r="J598" s="4">
        <v>360.0</v>
      </c>
      <c r="K598" s="4">
        <v>1.0</v>
      </c>
      <c r="L598" s="4" t="s">
        <v>21</v>
      </c>
      <c r="M598" s="4" t="s">
        <v>22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 t="s">
        <v>641</v>
      </c>
      <c r="B599" s="4" t="s">
        <v>14</v>
      </c>
      <c r="C599" s="4" t="s">
        <v>15</v>
      </c>
      <c r="D599" s="5">
        <v>0.0</v>
      </c>
      <c r="E599" s="4" t="s">
        <v>16</v>
      </c>
      <c r="F599" s="4" t="s">
        <v>15</v>
      </c>
      <c r="G599" s="4">
        <v>2987.0</v>
      </c>
      <c r="H599" s="4">
        <v>0.0</v>
      </c>
      <c r="I599" s="4">
        <v>88.0</v>
      </c>
      <c r="J599" s="4">
        <v>360.0</v>
      </c>
      <c r="K599" s="4">
        <v>0.0</v>
      </c>
      <c r="L599" s="4" t="s">
        <v>33</v>
      </c>
      <c r="M599" s="4" t="s">
        <v>22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 t="s">
        <v>642</v>
      </c>
      <c r="B600" s="4" t="s">
        <v>14</v>
      </c>
      <c r="C600" s="4" t="s">
        <v>20</v>
      </c>
      <c r="D600" s="5">
        <v>0.0</v>
      </c>
      <c r="E600" s="4" t="s">
        <v>16</v>
      </c>
      <c r="F600" s="4" t="s">
        <v>20</v>
      </c>
      <c r="G600" s="4">
        <v>9963.0</v>
      </c>
      <c r="H600" s="4">
        <v>0.0</v>
      </c>
      <c r="I600" s="4">
        <v>180.0</v>
      </c>
      <c r="J600" s="4">
        <v>360.0</v>
      </c>
      <c r="K600" s="4">
        <v>1.0</v>
      </c>
      <c r="L600" s="4" t="s">
        <v>21</v>
      </c>
      <c r="M600" s="4" t="s">
        <v>18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 t="s">
        <v>643</v>
      </c>
      <c r="B601" s="4" t="s">
        <v>14</v>
      </c>
      <c r="C601" s="4" t="s">
        <v>20</v>
      </c>
      <c r="D601" s="5">
        <v>2.0</v>
      </c>
      <c r="E601" s="4" t="s">
        <v>16</v>
      </c>
      <c r="F601" s="4" t="s">
        <v>15</v>
      </c>
      <c r="G601" s="4">
        <v>5780.0</v>
      </c>
      <c r="H601" s="4">
        <v>0.0</v>
      </c>
      <c r="I601" s="4">
        <v>192.0</v>
      </c>
      <c r="J601" s="4">
        <v>360.0</v>
      </c>
      <c r="K601" s="4">
        <v>1.0</v>
      </c>
      <c r="L601" s="4" t="s">
        <v>17</v>
      </c>
      <c r="M601" s="4" t="s">
        <v>18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 t="s">
        <v>644</v>
      </c>
      <c r="B602" s="4" t="s">
        <v>54</v>
      </c>
      <c r="C602" s="4" t="s">
        <v>15</v>
      </c>
      <c r="D602" s="5" t="s">
        <v>32</v>
      </c>
      <c r="E602" s="4" t="s">
        <v>16</v>
      </c>
      <c r="F602" s="4" t="s">
        <v>15</v>
      </c>
      <c r="G602" s="4">
        <v>416.0</v>
      </c>
      <c r="H602" s="4">
        <v>41667.0</v>
      </c>
      <c r="I602" s="4">
        <v>350.0</v>
      </c>
      <c r="J602" s="4">
        <v>180.0</v>
      </c>
      <c r="K602" s="4">
        <v>1.0</v>
      </c>
      <c r="L602" s="4" t="s">
        <v>17</v>
      </c>
      <c r="M602" s="4" t="s">
        <v>22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 t="s">
        <v>645</v>
      </c>
      <c r="B603" s="4" t="s">
        <v>14</v>
      </c>
      <c r="C603" s="4" t="s">
        <v>20</v>
      </c>
      <c r="D603" s="5">
        <v>0.0</v>
      </c>
      <c r="E603" s="4" t="s">
        <v>25</v>
      </c>
      <c r="F603" s="4" t="s">
        <v>15</v>
      </c>
      <c r="G603" s="4">
        <v>2894.0</v>
      </c>
      <c r="H603" s="4">
        <v>2792.0</v>
      </c>
      <c r="I603" s="4">
        <v>155.0</v>
      </c>
      <c r="J603" s="4">
        <v>360.0</v>
      </c>
      <c r="K603" s="4">
        <v>1.0</v>
      </c>
      <c r="L603" s="4" t="s">
        <v>21</v>
      </c>
      <c r="M603" s="4" t="s">
        <v>18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 t="s">
        <v>646</v>
      </c>
      <c r="B604" s="4" t="s">
        <v>14</v>
      </c>
      <c r="C604" s="4" t="s">
        <v>20</v>
      </c>
      <c r="D604" s="5" t="s">
        <v>32</v>
      </c>
      <c r="E604" s="4" t="s">
        <v>16</v>
      </c>
      <c r="F604" s="4" t="s">
        <v>15</v>
      </c>
      <c r="G604" s="4">
        <v>5703.0</v>
      </c>
      <c r="H604" s="4">
        <v>0.0</v>
      </c>
      <c r="I604" s="4">
        <v>128.0</v>
      </c>
      <c r="J604" s="4">
        <v>360.0</v>
      </c>
      <c r="K604" s="4">
        <v>1.0</v>
      </c>
      <c r="L604" s="4" t="s">
        <v>17</v>
      </c>
      <c r="M604" s="4" t="s">
        <v>18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 t="s">
        <v>647</v>
      </c>
      <c r="B605" s="4" t="s">
        <v>14</v>
      </c>
      <c r="C605" s="4" t="s">
        <v>15</v>
      </c>
      <c r="D605" s="5">
        <v>0.0</v>
      </c>
      <c r="E605" s="4" t="s">
        <v>16</v>
      </c>
      <c r="F605" s="4" t="s">
        <v>15</v>
      </c>
      <c r="G605" s="4">
        <v>3676.0</v>
      </c>
      <c r="H605" s="4">
        <v>4301.0</v>
      </c>
      <c r="I605" s="4">
        <v>172.0</v>
      </c>
      <c r="J605" s="4">
        <v>360.0</v>
      </c>
      <c r="K605" s="4">
        <v>1.0</v>
      </c>
      <c r="L605" s="4" t="s">
        <v>21</v>
      </c>
      <c r="M605" s="4" t="s">
        <v>18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 t="s">
        <v>648</v>
      </c>
      <c r="B606" s="4" t="s">
        <v>54</v>
      </c>
      <c r="C606" s="4" t="s">
        <v>20</v>
      </c>
      <c r="D606" s="5">
        <v>1.0</v>
      </c>
      <c r="E606" s="4" t="s">
        <v>16</v>
      </c>
      <c r="F606" s="4" t="s">
        <v>15</v>
      </c>
      <c r="G606" s="4">
        <v>12000.0</v>
      </c>
      <c r="H606" s="4">
        <v>0.0</v>
      </c>
      <c r="I606" s="4">
        <v>496.0</v>
      </c>
      <c r="J606" s="4">
        <v>360.0</v>
      </c>
      <c r="K606" s="4">
        <v>1.0</v>
      </c>
      <c r="L606" s="4" t="s">
        <v>33</v>
      </c>
      <c r="M606" s="4" t="s">
        <v>18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 t="s">
        <v>649</v>
      </c>
      <c r="B607" s="4" t="s">
        <v>14</v>
      </c>
      <c r="C607" s="4" t="s">
        <v>20</v>
      </c>
      <c r="D607" s="5">
        <v>0.0</v>
      </c>
      <c r="E607" s="4" t="s">
        <v>25</v>
      </c>
      <c r="F607" s="4" t="s">
        <v>15</v>
      </c>
      <c r="G607" s="4">
        <v>2400.0</v>
      </c>
      <c r="H607" s="4">
        <v>3800.0</v>
      </c>
      <c r="I607" s="4">
        <v>128.0</v>
      </c>
      <c r="J607" s="4">
        <v>180.0</v>
      </c>
      <c r="K607" s="4">
        <v>1.0</v>
      </c>
      <c r="L607" s="4" t="s">
        <v>17</v>
      </c>
      <c r="M607" s="4" t="s">
        <v>22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 t="s">
        <v>650</v>
      </c>
      <c r="B608" s="4" t="s">
        <v>14</v>
      </c>
      <c r="C608" s="4" t="s">
        <v>20</v>
      </c>
      <c r="D608" s="5">
        <v>1.0</v>
      </c>
      <c r="E608" s="4" t="s">
        <v>16</v>
      </c>
      <c r="F608" s="4" t="s">
        <v>15</v>
      </c>
      <c r="G608" s="4">
        <v>3400.0</v>
      </c>
      <c r="H608" s="4">
        <v>2500.0</v>
      </c>
      <c r="I608" s="4">
        <v>173.0</v>
      </c>
      <c r="J608" s="4">
        <v>360.0</v>
      </c>
      <c r="K608" s="4">
        <v>1.0</v>
      </c>
      <c r="L608" s="4" t="s">
        <v>33</v>
      </c>
      <c r="M608" s="4" t="s">
        <v>18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 t="s">
        <v>651</v>
      </c>
      <c r="B609" s="4" t="s">
        <v>14</v>
      </c>
      <c r="C609" s="4" t="s">
        <v>20</v>
      </c>
      <c r="D609" s="5">
        <v>2.0</v>
      </c>
      <c r="E609" s="4" t="s">
        <v>25</v>
      </c>
      <c r="F609" s="4" t="s">
        <v>15</v>
      </c>
      <c r="G609" s="4">
        <v>3987.0</v>
      </c>
      <c r="H609" s="4">
        <v>1411.0</v>
      </c>
      <c r="I609" s="4">
        <v>157.0</v>
      </c>
      <c r="J609" s="4">
        <v>360.0</v>
      </c>
      <c r="K609" s="4">
        <v>1.0</v>
      </c>
      <c r="L609" s="4" t="s">
        <v>21</v>
      </c>
      <c r="M609" s="4" t="s">
        <v>18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 t="s">
        <v>652</v>
      </c>
      <c r="B610" s="4" t="s">
        <v>14</v>
      </c>
      <c r="C610" s="4" t="s">
        <v>20</v>
      </c>
      <c r="D610" s="5">
        <v>0.0</v>
      </c>
      <c r="E610" s="4" t="s">
        <v>16</v>
      </c>
      <c r="F610" s="4" t="s">
        <v>15</v>
      </c>
      <c r="G610" s="4">
        <v>3232.0</v>
      </c>
      <c r="H610" s="4">
        <v>1950.0</v>
      </c>
      <c r="I610" s="4">
        <v>108.0</v>
      </c>
      <c r="J610" s="4">
        <v>360.0</v>
      </c>
      <c r="K610" s="4">
        <v>1.0</v>
      </c>
      <c r="L610" s="4" t="s">
        <v>21</v>
      </c>
      <c r="M610" s="4" t="s">
        <v>18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 t="s">
        <v>653</v>
      </c>
      <c r="B611" s="4" t="s">
        <v>54</v>
      </c>
      <c r="C611" s="4" t="s">
        <v>15</v>
      </c>
      <c r="D611" s="5">
        <v>0.0</v>
      </c>
      <c r="E611" s="4" t="s">
        <v>16</v>
      </c>
      <c r="F611" s="4" t="s">
        <v>15</v>
      </c>
      <c r="G611" s="4">
        <v>2900.0</v>
      </c>
      <c r="H611" s="4">
        <v>0.0</v>
      </c>
      <c r="I611" s="4">
        <v>71.0</v>
      </c>
      <c r="J611" s="4">
        <v>360.0</v>
      </c>
      <c r="K611" s="4">
        <v>1.0</v>
      </c>
      <c r="L611" s="4" t="s">
        <v>21</v>
      </c>
      <c r="M611" s="4" t="s">
        <v>18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 t="s">
        <v>654</v>
      </c>
      <c r="B612" s="4" t="s">
        <v>14</v>
      </c>
      <c r="C612" s="4" t="s">
        <v>20</v>
      </c>
      <c r="D612" s="5" t="s">
        <v>32</v>
      </c>
      <c r="E612" s="4" t="s">
        <v>16</v>
      </c>
      <c r="F612" s="4" t="s">
        <v>15</v>
      </c>
      <c r="G612" s="4">
        <v>4106.0</v>
      </c>
      <c r="H612" s="4">
        <v>0.0</v>
      </c>
      <c r="I612" s="4">
        <v>40.0</v>
      </c>
      <c r="J612" s="4">
        <v>180.0</v>
      </c>
      <c r="K612" s="4">
        <v>1.0</v>
      </c>
      <c r="L612" s="4" t="s">
        <v>21</v>
      </c>
      <c r="M612" s="4" t="s">
        <v>18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 t="s">
        <v>655</v>
      </c>
      <c r="B613" s="4" t="s">
        <v>14</v>
      </c>
      <c r="C613" s="4" t="s">
        <v>20</v>
      </c>
      <c r="D613" s="5">
        <v>1.0</v>
      </c>
      <c r="E613" s="4" t="s">
        <v>16</v>
      </c>
      <c r="F613" s="4" t="s">
        <v>15</v>
      </c>
      <c r="G613" s="4">
        <v>8072.0</v>
      </c>
      <c r="H613" s="4">
        <v>240.0</v>
      </c>
      <c r="I613" s="4">
        <v>253.0</v>
      </c>
      <c r="J613" s="4">
        <v>360.0</v>
      </c>
      <c r="K613" s="4">
        <v>1.0</v>
      </c>
      <c r="L613" s="4" t="s">
        <v>17</v>
      </c>
      <c r="M613" s="4" t="s">
        <v>18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 t="s">
        <v>656</v>
      </c>
      <c r="B614" s="4" t="s">
        <v>14</v>
      </c>
      <c r="C614" s="4" t="s">
        <v>20</v>
      </c>
      <c r="D614" s="5">
        <v>2.0</v>
      </c>
      <c r="E614" s="4" t="s">
        <v>16</v>
      </c>
      <c r="F614" s="4" t="s">
        <v>15</v>
      </c>
      <c r="G614" s="4">
        <v>7583.0</v>
      </c>
      <c r="H614" s="4">
        <v>0.0</v>
      </c>
      <c r="I614" s="4">
        <v>187.0</v>
      </c>
      <c r="J614" s="4">
        <v>360.0</v>
      </c>
      <c r="K614" s="4">
        <v>1.0</v>
      </c>
      <c r="L614" s="4" t="s">
        <v>17</v>
      </c>
      <c r="M614" s="4" t="s">
        <v>18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 t="s">
        <v>657</v>
      </c>
      <c r="B615" s="4" t="s">
        <v>54</v>
      </c>
      <c r="C615" s="4" t="s">
        <v>15</v>
      </c>
      <c r="D615" s="5">
        <v>0.0</v>
      </c>
      <c r="E615" s="4" t="s">
        <v>16</v>
      </c>
      <c r="F615" s="4" t="s">
        <v>20</v>
      </c>
      <c r="G615" s="4">
        <v>4583.0</v>
      </c>
      <c r="H615" s="4">
        <v>0.0</v>
      </c>
      <c r="I615" s="4">
        <v>133.0</v>
      </c>
      <c r="J615" s="4">
        <v>360.0</v>
      </c>
      <c r="K615" s="4">
        <v>0.0</v>
      </c>
      <c r="L615" s="4" t="s">
        <v>33</v>
      </c>
      <c r="M615" s="4" t="s">
        <v>22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</sheetData>
  <conditionalFormatting sqref="A1:M615">
    <cfRule type="containsBlanks" dxfId="0" priority="1">
      <formula>LEN(TRIM(A1))=0</formula>
    </cfRule>
  </conditionalFormatting>
  <conditionalFormatting sqref="K1:K615">
    <cfRule type="cellIs" dxfId="1" priority="2" operator="equal">
      <formula>0</formula>
    </cfRule>
  </conditionalFormatting>
  <conditionalFormatting sqref="G1:G615">
    <cfRule type="cellIs" dxfId="2" priority="3" operator="greaterThanOrEqual">
      <formula>10000</formula>
    </cfRule>
  </conditionalFormatting>
  <conditionalFormatting sqref="G1:G615">
    <cfRule type="cellIs" dxfId="3" priority="4" operator="greaterThanOrEqual">
      <formula>5000</formula>
    </cfRule>
  </conditionalFormatting>
  <conditionalFormatting sqref="G1:G615">
    <cfRule type="cellIs" dxfId="4" priority="5" operator="lessThan">
      <formula>5000</formula>
    </cfRule>
  </conditionalFormatting>
  <conditionalFormatting sqref="I1:I615">
    <cfRule type="colorScale" priority="6">
      <colorScale>
        <cfvo type="min"/>
        <cfvo type="max"/>
        <color rgb="FFFFFFFF"/>
        <color rgb="FFE67C73"/>
      </colorScale>
    </cfRule>
  </conditionalFormatting>
  <conditionalFormatting sqref="J1:J615">
    <cfRule type="cellIs" dxfId="5" priority="7" operator="between">
      <formula>0</formula>
      <formula>180</formula>
    </cfRule>
  </conditionalFormatting>
  <conditionalFormatting sqref="J1:J615">
    <cfRule type="cellIs" dxfId="6" priority="8" operator="between">
      <formula>190</formula>
      <formula>360</formula>
    </cfRule>
  </conditionalFormatting>
  <conditionalFormatting sqref="J1:J615">
    <cfRule type="cellIs" dxfId="7" priority="9" operator="greaterThan">
      <formula>360</formula>
    </cfRule>
  </conditionalFormatting>
  <conditionalFormatting sqref="M1:M615">
    <cfRule type="cellIs" dxfId="5" priority="10" operator="equal">
      <formula>"y"</formula>
    </cfRule>
  </conditionalFormatting>
  <conditionalFormatting sqref="M1:M615">
    <cfRule type="cellIs" dxfId="8" priority="11" operator="equal">
      <formula>"n"</formula>
    </cfRule>
  </conditionalFormatting>
  <conditionalFormatting sqref="C1:C615">
    <cfRule type="beginsWith" dxfId="9" priority="12" operator="beginsWith" text="y">
      <formula>LEFT((C1),LEN("y"))=("y")</formula>
    </cfRule>
  </conditionalFormatting>
  <conditionalFormatting sqref="B1:B615">
    <cfRule type="cellIs" dxfId="10" priority="13" operator="equal">
      <formula>"male"</formula>
    </cfRule>
  </conditionalFormatting>
  <conditionalFormatting sqref="B1:B615">
    <cfRule type="cellIs" dxfId="11" priority="14" operator="equal">
      <formula>"female"</formula>
    </cfRule>
  </conditionalFormatting>
  <conditionalFormatting sqref="H1:H615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  <col customWidth="1" min="2" max="2" width="23.63"/>
    <col customWidth="1" min="3" max="3" width="20.75"/>
    <col customWidth="1" min="4" max="4" width="21.25"/>
    <col customWidth="1" min="5" max="5" width="16.5"/>
    <col customWidth="1" min="6" max="6" width="18.75"/>
    <col customWidth="1" min="7" max="7" width="23.63"/>
    <col customWidth="1" min="8" max="8" width="18.75"/>
    <col customWidth="1" min="10" max="10" width="16.5"/>
    <col customWidth="1" min="13" max="13" width="16.5"/>
  </cols>
  <sheetData>
    <row r="1"/>
    <row r="2"/>
    <row r="3"/>
    <row r="4"/>
    <row r="5"/>
    <row r="6"/>
    <row r="7"/>
    <row r="8"/>
    <row r="9"/>
    <row r="10"/>
    <row r="11"/>
    <row r="12"/>
    <row r="14"/>
    <row r="15"/>
    <row r="16"/>
    <row r="17"/>
    <row r="18"/>
    <row r="19"/>
    <row r="20"/>
    <row r="21"/>
    <row r="22"/>
    <row r="24"/>
    <row r="25">
      <c r="E25" s="23"/>
      <c r="G25" s="23"/>
    </row>
    <row r="26"/>
    <row r="27"/>
    <row r="28"/>
    <row r="29"/>
    <row r="30"/>
    <row r="31"/>
    <row r="32"/>
    <row r="33"/>
    <row r="34"/>
    <row r="35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26"/>
      <c r="C4" s="26"/>
      <c r="D4" s="26"/>
      <c r="E4" s="26"/>
      <c r="F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